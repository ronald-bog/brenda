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L\Desktop\Python\"/>
    </mc:Choice>
  </mc:AlternateContent>
  <xr:revisionPtr revIDLastSave="0" documentId="13_ncr:1_{F9BF803C-189D-40EF-9393-E86CF3013879}" xr6:coauthVersionLast="47" xr6:coauthVersionMax="47" xr10:uidLastSave="{00000000-0000-0000-0000-000000000000}"/>
  <bookViews>
    <workbookView xWindow="-120" yWindow="-120" windowWidth="20730" windowHeight="11160" xr2:uid="{1F1CEAF7-37D1-4401-99E2-1AB5A7FEA1AF}"/>
  </bookViews>
  <sheets>
    <sheet name="BALANCE DE PRUEBA" sheetId="1" r:id="rId1"/>
    <sheet name="EEFF" sheetId="2" r:id="rId2"/>
  </sheets>
  <definedNames>
    <definedName name="_xlnm._FilterDatabase" localSheetId="0" hidden="1">'BALANCE DE PRUEBA'!$A$5:$H$813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2" l="1"/>
  <c r="J33" i="2" s="1"/>
  <c r="J34" i="2" s="1"/>
  <c r="J36" i="2" s="1"/>
  <c r="J31" i="2"/>
  <c r="J30" i="2"/>
  <c r="J28" i="2"/>
  <c r="J27" i="2"/>
  <c r="J26" i="2"/>
  <c r="J25" i="2"/>
  <c r="I28" i="2"/>
  <c r="J21" i="2"/>
  <c r="J20" i="2"/>
  <c r="J19" i="2"/>
  <c r="J18" i="2"/>
  <c r="J17" i="2"/>
  <c r="J16" i="2"/>
  <c r="J14" i="2"/>
  <c r="J13" i="2"/>
  <c r="J12" i="2"/>
  <c r="J22" i="2" s="1"/>
  <c r="J9" i="2"/>
  <c r="J8" i="2"/>
  <c r="J10" i="2" s="1"/>
  <c r="E12" i="2"/>
  <c r="E17" i="2"/>
  <c r="E34" i="2"/>
  <c r="E32" i="2"/>
  <c r="E31" i="2"/>
  <c r="E27" i="2"/>
  <c r="E28" i="2" s="1"/>
  <c r="E24" i="2"/>
  <c r="E23" i="2"/>
  <c r="E22" i="2"/>
  <c r="E21" i="2"/>
  <c r="E25" i="2" s="1"/>
  <c r="E29" i="2" s="1"/>
  <c r="E16" i="2"/>
  <c r="E15" i="2"/>
  <c r="E11" i="2"/>
  <c r="E10" i="2"/>
  <c r="E9" i="2"/>
  <c r="I14" i="2"/>
  <c r="I32" i="2"/>
  <c r="I31" i="2"/>
  <c r="I30" i="2"/>
  <c r="I27" i="2"/>
  <c r="I26" i="2"/>
  <c r="I25" i="2"/>
  <c r="I21" i="2"/>
  <c r="I20" i="2"/>
  <c r="I19" i="2"/>
  <c r="I18" i="2"/>
  <c r="I17" i="2"/>
  <c r="I16" i="2"/>
  <c r="I13" i="2"/>
  <c r="I12" i="2"/>
  <c r="I9" i="2"/>
  <c r="I8" i="2"/>
  <c r="D34" i="2"/>
  <c r="D32" i="2"/>
  <c r="D31" i="2"/>
  <c r="D27" i="2"/>
  <c r="D28" i="2" s="1"/>
  <c r="D24" i="2"/>
  <c r="D23" i="2"/>
  <c r="D22" i="2"/>
  <c r="C353" i="1"/>
  <c r="F353" i="1" s="1"/>
  <c r="C352" i="1"/>
  <c r="D378" i="1"/>
  <c r="E353" i="1"/>
  <c r="D353" i="1"/>
  <c r="D21" i="2"/>
  <c r="D16" i="2"/>
  <c r="D15" i="2"/>
  <c r="D17" i="2" s="1"/>
  <c r="D12" i="2"/>
  <c r="D11" i="2"/>
  <c r="D10" i="2"/>
  <c r="D9" i="2"/>
  <c r="D13" i="2" l="1"/>
  <c r="D18" i="2" s="1"/>
  <c r="D25" i="2"/>
  <c r="D29" i="2" s="1"/>
  <c r="I22" i="2"/>
  <c r="E13" i="2"/>
  <c r="E18" i="2" s="1"/>
  <c r="J23" i="2"/>
  <c r="I33" i="2"/>
  <c r="I10" i="2"/>
  <c r="E33" i="2" l="1"/>
  <c r="E35" i="2" s="1"/>
  <c r="E36" i="2" s="1"/>
  <c r="I23" i="2"/>
  <c r="I34" i="2" s="1"/>
  <c r="I36" i="2" s="1"/>
  <c r="D33" i="2" s="1"/>
  <c r="F104" i="1" l="1"/>
  <c r="E528" i="1"/>
  <c r="E529" i="1"/>
  <c r="D562" i="1"/>
  <c r="E562" i="1"/>
  <c r="D564" i="1"/>
  <c r="E564" i="1"/>
  <c r="F564" i="1"/>
  <c r="E794" i="1"/>
  <c r="C795" i="1"/>
  <c r="C794" i="1" s="1"/>
  <c r="E795" i="1"/>
  <c r="D795" i="1"/>
  <c r="D794" i="1" s="1"/>
  <c r="E790" i="1"/>
  <c r="C790" i="1"/>
  <c r="D790" i="1"/>
  <c r="E786" i="1"/>
  <c r="C786" i="1"/>
  <c r="D786" i="1"/>
  <c r="E783" i="1"/>
  <c r="C783" i="1"/>
  <c r="D783" i="1"/>
  <c r="E769" i="1"/>
  <c r="C769" i="1"/>
  <c r="D769" i="1"/>
  <c r="E756" i="1"/>
  <c r="C756" i="1"/>
  <c r="D756" i="1"/>
  <c r="E743" i="1"/>
  <c r="C743" i="1"/>
  <c r="D743" i="1"/>
  <c r="D730" i="1"/>
  <c r="D721" i="1"/>
  <c r="C708" i="1"/>
  <c r="C721" i="1"/>
  <c r="C730" i="1"/>
  <c r="E730" i="1"/>
  <c r="E721" i="1"/>
  <c r="E708" i="1"/>
  <c r="D708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 s="1"/>
  <c r="F794" i="1" s="1"/>
  <c r="F792" i="1"/>
  <c r="F791" i="1"/>
  <c r="F789" i="1"/>
  <c r="F788" i="1"/>
  <c r="F787" i="1"/>
  <c r="F785" i="1"/>
  <c r="F784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29" i="1"/>
  <c r="F728" i="1"/>
  <c r="F727" i="1"/>
  <c r="F726" i="1"/>
  <c r="F725" i="1"/>
  <c r="F724" i="1"/>
  <c r="F723" i="1"/>
  <c r="F722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D703" i="1"/>
  <c r="D693" i="1"/>
  <c r="C703" i="1"/>
  <c r="E701" i="1"/>
  <c r="D701" i="1"/>
  <c r="E696" i="1"/>
  <c r="D696" i="1"/>
  <c r="D692" i="1" s="1"/>
  <c r="E693" i="1"/>
  <c r="C693" i="1"/>
  <c r="E669" i="1"/>
  <c r="C669" i="1"/>
  <c r="D669" i="1"/>
  <c r="E656" i="1"/>
  <c r="D656" i="1"/>
  <c r="E653" i="1"/>
  <c r="D653" i="1"/>
  <c r="E651" i="1"/>
  <c r="E646" i="1"/>
  <c r="D646" i="1"/>
  <c r="D643" i="1"/>
  <c r="E643" i="1"/>
  <c r="E640" i="1"/>
  <c r="D640" i="1"/>
  <c r="D632" i="1"/>
  <c r="E630" i="1"/>
  <c r="E632" i="1"/>
  <c r="D630" i="1"/>
  <c r="E628" i="1"/>
  <c r="D628" i="1"/>
  <c r="E626" i="1"/>
  <c r="D626" i="1"/>
  <c r="E624" i="1"/>
  <c r="D624" i="1"/>
  <c r="E620" i="1"/>
  <c r="E616" i="1"/>
  <c r="E612" i="1"/>
  <c r="D612" i="1"/>
  <c r="D620" i="1"/>
  <c r="D616" i="1"/>
  <c r="E608" i="1"/>
  <c r="E604" i="1"/>
  <c r="E600" i="1"/>
  <c r="D608" i="1"/>
  <c r="D604" i="1"/>
  <c r="D600" i="1"/>
  <c r="E596" i="1"/>
  <c r="D596" i="1"/>
  <c r="F704" i="1"/>
  <c r="E703" i="1"/>
  <c r="F702" i="1"/>
  <c r="F701" i="1" s="1"/>
  <c r="F700" i="1"/>
  <c r="F699" i="1"/>
  <c r="F698" i="1"/>
  <c r="F697" i="1"/>
  <c r="F696" i="1" s="1"/>
  <c r="F695" i="1"/>
  <c r="F694" i="1"/>
  <c r="C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1" i="1"/>
  <c r="F670" i="1"/>
  <c r="F668" i="1"/>
  <c r="D667" i="1"/>
  <c r="F667" i="1" s="1"/>
  <c r="F666" i="1"/>
  <c r="F665" i="1"/>
  <c r="F664" i="1"/>
  <c r="D663" i="1"/>
  <c r="D662" i="1" s="1"/>
  <c r="F662" i="1" s="1"/>
  <c r="F661" i="1"/>
  <c r="F660" i="1"/>
  <c r="D659" i="1"/>
  <c r="D658" i="1" s="1"/>
  <c r="F658" i="1" s="1"/>
  <c r="F657" i="1"/>
  <c r="F656" i="1" s="1"/>
  <c r="F655" i="1"/>
  <c r="F654" i="1"/>
  <c r="F652" i="1"/>
  <c r="F651" i="1" s="1"/>
  <c r="D651" i="1"/>
  <c r="F649" i="1"/>
  <c r="F648" i="1"/>
  <c r="F647" i="1"/>
  <c r="F645" i="1"/>
  <c r="F644" i="1"/>
  <c r="F642" i="1"/>
  <c r="F641" i="1"/>
  <c r="F638" i="1"/>
  <c r="F637" i="1"/>
  <c r="F636" i="1"/>
  <c r="F635" i="1"/>
  <c r="F634" i="1"/>
  <c r="F633" i="1"/>
  <c r="F631" i="1"/>
  <c r="F630" i="1" s="1"/>
  <c r="F629" i="1"/>
  <c r="F628" i="1" s="1"/>
  <c r="F627" i="1"/>
  <c r="F626" i="1" s="1"/>
  <c r="F625" i="1"/>
  <c r="F624" i="1" s="1"/>
  <c r="F623" i="1"/>
  <c r="F622" i="1"/>
  <c r="F621" i="1"/>
  <c r="F619" i="1"/>
  <c r="F618" i="1"/>
  <c r="F617" i="1"/>
  <c r="F615" i="1"/>
  <c r="F614" i="1"/>
  <c r="F613" i="1"/>
  <c r="F611" i="1"/>
  <c r="F610" i="1"/>
  <c r="F609" i="1"/>
  <c r="F607" i="1"/>
  <c r="F606" i="1"/>
  <c r="F605" i="1"/>
  <c r="F603" i="1"/>
  <c r="F602" i="1"/>
  <c r="F601" i="1"/>
  <c r="F599" i="1"/>
  <c r="F598" i="1"/>
  <c r="F597" i="1"/>
  <c r="E579" i="1"/>
  <c r="D582" i="1"/>
  <c r="E582" i="1"/>
  <c r="C582" i="1"/>
  <c r="D579" i="1"/>
  <c r="C579" i="1"/>
  <c r="D577" i="1"/>
  <c r="E577" i="1"/>
  <c r="C577" i="1"/>
  <c r="F592" i="1"/>
  <c r="E591" i="1"/>
  <c r="F591" i="1" s="1"/>
  <c r="F589" i="1"/>
  <c r="E588" i="1"/>
  <c r="F588" i="1" s="1"/>
  <c r="F587" i="1"/>
  <c r="E586" i="1"/>
  <c r="F586" i="1" s="1"/>
  <c r="F584" i="1"/>
  <c r="F583" i="1"/>
  <c r="F581" i="1"/>
  <c r="F580" i="1"/>
  <c r="F578" i="1"/>
  <c r="F577" i="1" s="1"/>
  <c r="C571" i="1"/>
  <c r="C570" i="1" s="1"/>
  <c r="D571" i="1"/>
  <c r="E571" i="1"/>
  <c r="D567" i="1"/>
  <c r="D566" i="1" s="1"/>
  <c r="E567" i="1"/>
  <c r="E566" i="1" s="1"/>
  <c r="C567" i="1"/>
  <c r="C566" i="1" s="1"/>
  <c r="F574" i="1"/>
  <c r="F573" i="1"/>
  <c r="F572" i="1"/>
  <c r="D570" i="1"/>
  <c r="F569" i="1"/>
  <c r="F568" i="1"/>
  <c r="C564" i="1"/>
  <c r="F563" i="1"/>
  <c r="C562" i="1"/>
  <c r="D559" i="1"/>
  <c r="E559" i="1"/>
  <c r="C559" i="1"/>
  <c r="C529" i="1"/>
  <c r="C528" i="1" s="1"/>
  <c r="D529" i="1"/>
  <c r="D528" i="1" s="1"/>
  <c r="D508" i="1"/>
  <c r="D507" i="1" s="1"/>
  <c r="E508" i="1"/>
  <c r="E507" i="1" s="1"/>
  <c r="C508" i="1"/>
  <c r="C507" i="1" s="1"/>
  <c r="D487" i="1"/>
  <c r="D486" i="1" s="1"/>
  <c r="E487" i="1"/>
  <c r="E486" i="1" s="1"/>
  <c r="C487" i="1"/>
  <c r="C486" i="1" s="1"/>
  <c r="D467" i="1"/>
  <c r="D466" i="1" s="1"/>
  <c r="E467" i="1"/>
  <c r="E466" i="1" s="1"/>
  <c r="C467" i="1"/>
  <c r="C466" i="1" s="1"/>
  <c r="D446" i="1"/>
  <c r="D445" i="1" s="1"/>
  <c r="E446" i="1"/>
  <c r="E445" i="1" s="1"/>
  <c r="C446" i="1"/>
  <c r="C445" i="1" s="1"/>
  <c r="D429" i="1"/>
  <c r="D428" i="1" s="1"/>
  <c r="E429" i="1"/>
  <c r="E428" i="1" s="1"/>
  <c r="C429" i="1"/>
  <c r="C428" i="1" s="1"/>
  <c r="D423" i="1"/>
  <c r="E423" i="1"/>
  <c r="C423" i="1"/>
  <c r="D419" i="1"/>
  <c r="E419" i="1"/>
  <c r="F419" i="1"/>
  <c r="C419" i="1"/>
  <c r="E395" i="1"/>
  <c r="F395" i="1"/>
  <c r="C395" i="1"/>
  <c r="D395" i="1"/>
  <c r="E379" i="1"/>
  <c r="D379" i="1"/>
  <c r="C379" i="1"/>
  <c r="E362" i="1"/>
  <c r="D362" i="1"/>
  <c r="C362" i="1"/>
  <c r="E355" i="1"/>
  <c r="C355" i="1"/>
  <c r="D355" i="1"/>
  <c r="F369" i="1"/>
  <c r="D336" i="1"/>
  <c r="E336" i="1"/>
  <c r="C336" i="1"/>
  <c r="D320" i="1"/>
  <c r="E320" i="1"/>
  <c r="C320" i="1"/>
  <c r="D300" i="1"/>
  <c r="E300" i="1"/>
  <c r="C300" i="1"/>
  <c r="D293" i="1"/>
  <c r="E293" i="1"/>
  <c r="C293" i="1"/>
  <c r="D290" i="1"/>
  <c r="E290" i="1"/>
  <c r="C290" i="1"/>
  <c r="C288" i="1"/>
  <c r="D285" i="1"/>
  <c r="E285" i="1"/>
  <c r="C285" i="1"/>
  <c r="D259" i="1"/>
  <c r="E259" i="1"/>
  <c r="C259" i="1"/>
  <c r="D256" i="1"/>
  <c r="E256" i="1"/>
  <c r="C256" i="1"/>
  <c r="E252" i="1"/>
  <c r="D252" i="1"/>
  <c r="C252" i="1"/>
  <c r="D247" i="1"/>
  <c r="E247" i="1"/>
  <c r="C247" i="1"/>
  <c r="D244" i="1"/>
  <c r="E244" i="1"/>
  <c r="C244" i="1"/>
  <c r="F251" i="1"/>
  <c r="E221" i="1"/>
  <c r="E220" i="1" s="1"/>
  <c r="D221" i="1"/>
  <c r="D220" i="1" s="1"/>
  <c r="C221" i="1"/>
  <c r="C220" i="1" s="1"/>
  <c r="F560" i="1"/>
  <c r="F559" i="1" s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6" i="1"/>
  <c r="F425" i="1"/>
  <c r="F424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7" i="1"/>
  <c r="F376" i="1"/>
  <c r="F375" i="1"/>
  <c r="F374" i="1"/>
  <c r="F373" i="1"/>
  <c r="F372" i="1"/>
  <c r="F371" i="1"/>
  <c r="F370" i="1"/>
  <c r="F361" i="1"/>
  <c r="F360" i="1"/>
  <c r="F359" i="1"/>
  <c r="F358" i="1"/>
  <c r="F357" i="1"/>
  <c r="F356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298" i="1"/>
  <c r="F297" i="1"/>
  <c r="F296" i="1"/>
  <c r="F295" i="1"/>
  <c r="F294" i="1"/>
  <c r="F292" i="1"/>
  <c r="F291" i="1"/>
  <c r="F289" i="1"/>
  <c r="D288" i="1"/>
  <c r="F286" i="1"/>
  <c r="F258" i="1"/>
  <c r="F257" i="1"/>
  <c r="F254" i="1"/>
  <c r="F253" i="1"/>
  <c r="F250" i="1"/>
  <c r="F249" i="1"/>
  <c r="F248" i="1"/>
  <c r="F246" i="1"/>
  <c r="F245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C217" i="1"/>
  <c r="F217" i="1" s="1"/>
  <c r="F218" i="1"/>
  <c r="C216" i="1"/>
  <c r="F216" i="1" s="1"/>
  <c r="D211" i="1"/>
  <c r="E211" i="1"/>
  <c r="C211" i="1"/>
  <c r="C209" i="1"/>
  <c r="F209" i="1" s="1"/>
  <c r="D206" i="1"/>
  <c r="D203" i="1" s="1"/>
  <c r="E206" i="1"/>
  <c r="E203" i="1" s="1"/>
  <c r="C206" i="1"/>
  <c r="C204" i="1"/>
  <c r="F204" i="1" s="1"/>
  <c r="F215" i="1"/>
  <c r="F214" i="1"/>
  <c r="F213" i="1"/>
  <c r="F212" i="1"/>
  <c r="F210" i="1"/>
  <c r="F208" i="1"/>
  <c r="F207" i="1"/>
  <c r="F205" i="1"/>
  <c r="D103" i="1"/>
  <c r="D102" i="1" s="1"/>
  <c r="E103" i="1"/>
  <c r="E102" i="1" s="1"/>
  <c r="C103" i="1"/>
  <c r="C102" i="1" s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C94" i="1"/>
  <c r="C92" i="1"/>
  <c r="D92" i="1"/>
  <c r="C73" i="1"/>
  <c r="F93" i="1"/>
  <c r="F92" i="1" s="1"/>
  <c r="E92" i="1"/>
  <c r="D94" i="1"/>
  <c r="E94" i="1"/>
  <c r="F97" i="1"/>
  <c r="C101" i="1"/>
  <c r="C100" i="1" s="1"/>
  <c r="F100" i="1" s="1"/>
  <c r="E73" i="1"/>
  <c r="D73" i="1"/>
  <c r="F72" i="1"/>
  <c r="F71" i="1"/>
  <c r="E65" i="1"/>
  <c r="D65" i="1"/>
  <c r="C65" i="1"/>
  <c r="E58" i="1"/>
  <c r="D58" i="1"/>
  <c r="C58" i="1"/>
  <c r="D48" i="1"/>
  <c r="E48" i="1"/>
  <c r="C48" i="1"/>
  <c r="E45" i="1"/>
  <c r="F44" i="1"/>
  <c r="F49" i="1"/>
  <c r="D45" i="1"/>
  <c r="C45" i="1"/>
  <c r="F19" i="1"/>
  <c r="E18" i="1"/>
  <c r="D18" i="1"/>
  <c r="C18" i="1"/>
  <c r="C14" i="1"/>
  <c r="C8" i="1"/>
  <c r="F99" i="1"/>
  <c r="F98" i="1"/>
  <c r="F96" i="1"/>
  <c r="F95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0" i="1"/>
  <c r="F69" i="1"/>
  <c r="F68" i="1"/>
  <c r="F67" i="1"/>
  <c r="F66" i="1"/>
  <c r="F64" i="1"/>
  <c r="F63" i="1"/>
  <c r="F62" i="1"/>
  <c r="F61" i="1"/>
  <c r="F60" i="1"/>
  <c r="F55" i="1"/>
  <c r="F54" i="1"/>
  <c r="F53" i="1"/>
  <c r="F52" i="1"/>
  <c r="F51" i="1"/>
  <c r="F50" i="1"/>
  <c r="F47" i="1"/>
  <c r="F46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6" i="1"/>
  <c r="F15" i="1"/>
  <c r="D14" i="1"/>
  <c r="E14" i="1"/>
  <c r="E8" i="1"/>
  <c r="F9" i="1"/>
  <c r="F10" i="1"/>
  <c r="D8" i="1"/>
  <c r="F708" i="1" l="1"/>
  <c r="F721" i="1"/>
  <c r="F730" i="1"/>
  <c r="F743" i="1"/>
  <c r="F756" i="1"/>
  <c r="F769" i="1"/>
  <c r="D793" i="1"/>
  <c r="F793" i="1" s="1"/>
  <c r="F528" i="1"/>
  <c r="F566" i="1"/>
  <c r="F562" i="1"/>
  <c r="F703" i="1"/>
  <c r="F783" i="1"/>
  <c r="F693" i="1"/>
  <c r="F790" i="1"/>
  <c r="E692" i="1"/>
  <c r="F692" i="1" s="1"/>
  <c r="F786" i="1"/>
  <c r="D707" i="1"/>
  <c r="D706" i="1" s="1"/>
  <c r="F669" i="1"/>
  <c r="F582" i="1"/>
  <c r="F653" i="1"/>
  <c r="D639" i="1"/>
  <c r="F640" i="1"/>
  <c r="F646" i="1"/>
  <c r="F612" i="1"/>
  <c r="E639" i="1"/>
  <c r="E594" i="1" s="1"/>
  <c r="F632" i="1"/>
  <c r="F643" i="1"/>
  <c r="D650" i="1"/>
  <c r="F650" i="1" s="1"/>
  <c r="D595" i="1"/>
  <c r="F600" i="1"/>
  <c r="F616" i="1"/>
  <c r="F596" i="1"/>
  <c r="E576" i="1"/>
  <c r="F608" i="1"/>
  <c r="D576" i="1"/>
  <c r="D575" i="1" s="1"/>
  <c r="F604" i="1"/>
  <c r="F620" i="1"/>
  <c r="F579" i="1"/>
  <c r="F659" i="1"/>
  <c r="F663" i="1"/>
  <c r="D561" i="1"/>
  <c r="F571" i="1"/>
  <c r="E561" i="1"/>
  <c r="E585" i="1"/>
  <c r="C561" i="1"/>
  <c r="F570" i="1"/>
  <c r="F567" i="1"/>
  <c r="F529" i="1"/>
  <c r="F508" i="1"/>
  <c r="F507" i="1" s="1"/>
  <c r="D427" i="1"/>
  <c r="F429" i="1"/>
  <c r="F428" i="1" s="1"/>
  <c r="F487" i="1"/>
  <c r="F486" i="1" s="1"/>
  <c r="F467" i="1"/>
  <c r="F466" i="1" s="1"/>
  <c r="F446" i="1"/>
  <c r="F445" i="1" s="1"/>
  <c r="F288" i="1"/>
  <c r="F355" i="1"/>
  <c r="F379" i="1"/>
  <c r="F423" i="1"/>
  <c r="E354" i="1"/>
  <c r="D354" i="1"/>
  <c r="C319" i="1"/>
  <c r="F300" i="1"/>
  <c r="F285" i="1"/>
  <c r="F290" i="1"/>
  <c r="F293" i="1"/>
  <c r="F336" i="1"/>
  <c r="C287" i="1"/>
  <c r="D319" i="1"/>
  <c r="F244" i="1"/>
  <c r="F259" i="1"/>
  <c r="E287" i="1"/>
  <c r="F320" i="1"/>
  <c r="D287" i="1"/>
  <c r="E243" i="1"/>
  <c r="D243" i="1"/>
  <c r="F256" i="1"/>
  <c r="F252" i="1"/>
  <c r="C243" i="1"/>
  <c r="F221" i="1"/>
  <c r="F220" i="1" s="1"/>
  <c r="E319" i="1"/>
  <c r="F247" i="1"/>
  <c r="F211" i="1"/>
  <c r="C203" i="1"/>
  <c r="F203" i="1" s="1"/>
  <c r="F206" i="1"/>
  <c r="E378" i="1"/>
  <c r="E427" i="1"/>
  <c r="F255" i="1"/>
  <c r="C427" i="1"/>
  <c r="F101" i="1"/>
  <c r="F65" i="1"/>
  <c r="E57" i="1"/>
  <c r="E56" i="1" s="1"/>
  <c r="E17" i="1" s="1"/>
  <c r="F73" i="1"/>
  <c r="C57" i="1"/>
  <c r="C56" i="1" s="1"/>
  <c r="C17" i="1" s="1"/>
  <c r="F103" i="1"/>
  <c r="F102" i="1"/>
  <c r="F94" i="1"/>
  <c r="F59" i="1"/>
  <c r="F58" i="1" s="1"/>
  <c r="D57" i="1"/>
  <c r="D56" i="1" s="1"/>
  <c r="D17" i="1" s="1"/>
  <c r="D7" i="1"/>
  <c r="F45" i="1"/>
  <c r="F18" i="1"/>
  <c r="F48" i="1"/>
  <c r="F8" i="1"/>
  <c r="F7" i="1" s="1"/>
  <c r="E7" i="1"/>
  <c r="C7" i="1"/>
  <c r="F14" i="1"/>
  <c r="E593" i="1" l="1"/>
  <c r="C6" i="1"/>
  <c r="E6" i="1"/>
  <c r="D6" i="1"/>
  <c r="F595" i="1"/>
  <c r="D594" i="1"/>
  <c r="D593" i="1" s="1"/>
  <c r="F585" i="1"/>
  <c r="F707" i="1"/>
  <c r="F576" i="1"/>
  <c r="F639" i="1"/>
  <c r="F561" i="1"/>
  <c r="E575" i="1"/>
  <c r="F575" i="1" s="1"/>
  <c r="D242" i="1"/>
  <c r="F319" i="1"/>
  <c r="F368" i="1"/>
  <c r="F287" i="1"/>
  <c r="F243" i="1"/>
  <c r="E242" i="1"/>
  <c r="F378" i="1"/>
  <c r="E352" i="1"/>
  <c r="F427" i="1"/>
  <c r="F57" i="1"/>
  <c r="F56" i="1" s="1"/>
  <c r="F17" i="1"/>
  <c r="F6" i="1" s="1"/>
  <c r="E813" i="1" l="1"/>
  <c r="E219" i="1"/>
  <c r="F594" i="1"/>
  <c r="F593" i="1" s="1"/>
  <c r="D705" i="1"/>
  <c r="F706" i="1"/>
  <c r="F367" i="1"/>
  <c r="C242" i="1"/>
  <c r="C219" i="1" s="1"/>
  <c r="C813" i="1" s="1"/>
  <c r="F705" i="1" l="1"/>
  <c r="F366" i="1"/>
  <c r="F242" i="1"/>
  <c r="F365" i="1" l="1"/>
  <c r="F364" i="1" l="1"/>
  <c r="F363" i="1" l="1"/>
  <c r="F362" i="1" s="1"/>
  <c r="F354" i="1" s="1"/>
  <c r="D352" i="1" l="1"/>
  <c r="F352" i="1" l="1"/>
  <c r="F219" i="1" s="1"/>
  <c r="F813" i="1" s="1"/>
  <c r="D219" i="1"/>
  <c r="D813" i="1" s="1"/>
  <c r="D35" i="2"/>
  <c r="D36" i="2" s="1"/>
  <c r="D11" i="1"/>
  <c r="C11" i="1"/>
  <c r="F11" i="1"/>
  <c r="E11" i="1"/>
</calcChain>
</file>

<file path=xl/sharedStrings.xml><?xml version="1.0" encoding="utf-8"?>
<sst xmlns="http://schemas.openxmlformats.org/spreadsheetml/2006/main" count="890" uniqueCount="449">
  <si>
    <t>NIT 900374908-1</t>
  </si>
  <si>
    <t>Balance de Prueba entre el 01/01/2022 y el 30/09/2022</t>
  </si>
  <si>
    <t xml:space="preserve"> Elaborado Bajo Normas Internacionales de Información Financiera</t>
  </si>
  <si>
    <t>Código</t>
  </si>
  <si>
    <t>Cuenta (Tercero)</t>
  </si>
  <si>
    <t xml:space="preserve">Saldo inicial </t>
  </si>
  <si>
    <t>Débito</t>
  </si>
  <si>
    <t>Crédito</t>
  </si>
  <si>
    <t xml:space="preserve">Saldo final </t>
  </si>
  <si>
    <t xml:space="preserve">Activo </t>
  </si>
  <si>
    <t>Disponible</t>
  </si>
  <si>
    <t>Caja</t>
  </si>
  <si>
    <t xml:space="preserve">Caja general </t>
  </si>
  <si>
    <t xml:space="preserve">Cuentas de ahorro </t>
  </si>
  <si>
    <t xml:space="preserve">Bancos </t>
  </si>
  <si>
    <t>Ahorros Bancolombia CTA 146587</t>
  </si>
  <si>
    <t xml:space="preserve">Bancos moneda nacional </t>
  </si>
  <si>
    <t>Bancos moneda extranjera</t>
  </si>
  <si>
    <t xml:space="preserve">Cajas menores </t>
  </si>
  <si>
    <t xml:space="preserve">Otras cuentas de ahorro </t>
  </si>
  <si>
    <t xml:space="preserve">Deudores </t>
  </si>
  <si>
    <t xml:space="preserve">Deudores Nacionales </t>
  </si>
  <si>
    <t xml:space="preserve">Colegio Parroquial Nuestra Señora Del Buen Consejo </t>
  </si>
  <si>
    <t xml:space="preserve">Consorcio La Ceiba </t>
  </si>
  <si>
    <t xml:space="preserve">Consorcio La Independencia </t>
  </si>
  <si>
    <t xml:space="preserve">Consorcio Vias e Intervenciones Urbanas Guatape </t>
  </si>
  <si>
    <t>Corporación Colegio Cumbres</t>
  </si>
  <si>
    <t xml:space="preserve">Edificio Monteclaro - Propiedad Horizontal </t>
  </si>
  <si>
    <t xml:space="preserve">Etapa 1 Urbanización Orange - Propiedad Horizontal </t>
  </si>
  <si>
    <t xml:space="preserve">Religiosas de Jesús María </t>
  </si>
  <si>
    <t>Seguridad Privada Dorchester LTDA</t>
  </si>
  <si>
    <t xml:space="preserve">Urbanización Mirador de arboleda Propiedad Horizontal </t>
  </si>
  <si>
    <t xml:space="preserve">Cuentas por cobrar a socios y accionistas </t>
  </si>
  <si>
    <t xml:space="preserve">Flórez Orrego Johann David </t>
  </si>
  <si>
    <t xml:space="preserve">Anticipos y avances </t>
  </si>
  <si>
    <t xml:space="preserve">A Proveedores </t>
  </si>
  <si>
    <t xml:space="preserve">A trabajadores </t>
  </si>
  <si>
    <t xml:space="preserve">Otros </t>
  </si>
  <si>
    <t xml:space="preserve">Londoño Restrepo Ruben Dario </t>
  </si>
  <si>
    <t>Ochoa Flórez Ruben Dario</t>
  </si>
  <si>
    <t xml:space="preserve">Tordecilla Navarro Wilson Dario </t>
  </si>
  <si>
    <t xml:space="preserve">Anticipo de impuestos y contribuciones o saldos a favor </t>
  </si>
  <si>
    <t xml:space="preserve">Retención en la fuente </t>
  </si>
  <si>
    <t>Retención débito por ventas de productos</t>
  </si>
  <si>
    <t xml:space="preserve">Dirección de Impuestos y Aduanas Nacionales </t>
  </si>
  <si>
    <t>Retención débito por ventas de servicios</t>
  </si>
  <si>
    <t xml:space="preserve">Retención en la fuente por venta de servicios profesionales </t>
  </si>
  <si>
    <t>Retención en la fuente servicio de obra</t>
  </si>
  <si>
    <t>Autorretenciones a título de renta por venta de productos</t>
  </si>
  <si>
    <t xml:space="preserve">Impuesto a las ventas retenido </t>
  </si>
  <si>
    <t xml:space="preserve">Retención de Iva por venta de servicios </t>
  </si>
  <si>
    <t xml:space="preserve">Impuesto de industria y comercio retenido </t>
  </si>
  <si>
    <t xml:space="preserve">Retención de ICA por venta de productos </t>
  </si>
  <si>
    <t xml:space="preserve">Retención de ICA por venta de servicios </t>
  </si>
  <si>
    <t xml:space="preserve">Sobrantes en liquidación privada de impuestos </t>
  </si>
  <si>
    <t xml:space="preserve">Impuestos descontables </t>
  </si>
  <si>
    <t xml:space="preserve">Provisiones </t>
  </si>
  <si>
    <t xml:space="preserve">Clientes </t>
  </si>
  <si>
    <t>Abad + IP S,A,S</t>
  </si>
  <si>
    <t>Compañía de Servicios S,A</t>
  </si>
  <si>
    <t>Conjunto Nuevo Conquistadores Boreal P,H</t>
  </si>
  <si>
    <t>Constructora Asdelogy S,A,S</t>
  </si>
  <si>
    <t>Constructora Duran Ocampo S,A</t>
  </si>
  <si>
    <t>Convias S,A,S</t>
  </si>
  <si>
    <t>Global Arquitectura y Construcción S,A,S</t>
  </si>
  <si>
    <t>Mogacon S,A,S</t>
  </si>
  <si>
    <t xml:space="preserve">Muros y Techos S,A Ingenieros Arquitectos </t>
  </si>
  <si>
    <t>Promotora Aliadas Sur S,A,S</t>
  </si>
  <si>
    <t>Simon &amp; Bony Parques S,A</t>
  </si>
  <si>
    <t>Soluciones Civiles S,A</t>
  </si>
  <si>
    <t>Soluciones Constructivas S,A,S</t>
  </si>
  <si>
    <t>Urbanización castillo de la castellana P,H</t>
  </si>
  <si>
    <t xml:space="preserve">Urbanización Cantizal P,H </t>
  </si>
  <si>
    <t xml:space="preserve">Urbanización Sauces de la calera P,H </t>
  </si>
  <si>
    <t>Ecology Rubber S,A,S</t>
  </si>
  <si>
    <t>Credimapfre S,A,S</t>
  </si>
  <si>
    <t>Ecology Rubber SAS</t>
  </si>
  <si>
    <t xml:space="preserve">Inventarios </t>
  </si>
  <si>
    <t>Abracol SA</t>
  </si>
  <si>
    <t>Abrasivos Industriales S.A.S.</t>
  </si>
  <si>
    <t>Agroalimentos Medellin S.A.</t>
  </si>
  <si>
    <t>Aldana García Y Cía. S.A.S.</t>
  </si>
  <si>
    <t>Alfaquimicos S.A.S.</t>
  </si>
  <si>
    <t>Almetalco S.A.S.</t>
  </si>
  <si>
    <t>Antioqueña De Lubricantes Sgp S.A.S</t>
  </si>
  <si>
    <t>Antioqueña De Quimicos S.A.S.</t>
  </si>
  <si>
    <t>Aristizabal Ramirez  Cesar Diego</t>
  </si>
  <si>
    <t>Armeplas Prodalca S.A.S.</t>
  </si>
  <si>
    <t>Berrio Bedoya S.A.S.</t>
  </si>
  <si>
    <t>Cano Restrepo  Sandra Milena</t>
  </si>
  <si>
    <t>Casa Ferretera S.A.</t>
  </si>
  <si>
    <t>Cauchos Especiales Malaca S A S</t>
  </si>
  <si>
    <t>Comercial De Empaques Y Papeles S.A.S</t>
  </si>
  <si>
    <t>Comercializadora Calypso S .A.S.</t>
  </si>
  <si>
    <t>Comercializadora Evertin Sas</t>
  </si>
  <si>
    <t>Construcciones De Marmoles sociedad S.A.S</t>
  </si>
  <si>
    <t>Craneo S.A.S</t>
  </si>
  <si>
    <t>Cuesta De Naranjo  Angela Maria</t>
  </si>
  <si>
    <t>Cuperz S A</t>
  </si>
  <si>
    <t>Deposito El Poblado Y Cia Ltda.</t>
  </si>
  <si>
    <t>Direccion De Impuestos Y Aduanas Nacionales</t>
  </si>
  <si>
    <t>Distribuidora De Lubricantes S.T.M. S.A.S.</t>
  </si>
  <si>
    <t>Eko Group Colombia S.A.S</t>
  </si>
  <si>
    <t>Encolor S.A.S</t>
  </si>
  <si>
    <t>Envases Y Empaques Salaminas S.A.S</t>
  </si>
  <si>
    <t>Federacion Nacional De Comerciantes Fenalco Seccional Antioquia</t>
  </si>
  <si>
    <t>Fernandez Y Cia S.A.</t>
  </si>
  <si>
    <t>Ferreteria El Sotano S.A.S</t>
  </si>
  <si>
    <t>Ferreteria La 87 S.A.S.</t>
  </si>
  <si>
    <t>Ferreteria Tecnica SA</t>
  </si>
  <si>
    <t>Ferrosvel S. A. S.</t>
  </si>
  <si>
    <t>Filtros Y Aceites Valladolid S.A.S</t>
  </si>
  <si>
    <t>Gil Hernandez  Natalia</t>
  </si>
  <si>
    <t>Gmp Productos Quimicos S.A.</t>
  </si>
  <si>
    <t>Grupo Aristi S.A.S.</t>
  </si>
  <si>
    <t>Gutierrez Martinez  Omar Alberto</t>
  </si>
  <si>
    <t>Herrera Escobar  Gloria Maria</t>
  </si>
  <si>
    <t>Home´N Depot Supply S.A.S</t>
  </si>
  <si>
    <t>Huella Urbana Ambiental S A S</t>
  </si>
  <si>
    <t>Importadora De Quimicos Dunamis S.A.S</t>
  </si>
  <si>
    <t>Importadora Serna Macia S A</t>
  </si>
  <si>
    <t>Industrial De Pinturas Jmf SAS</t>
  </si>
  <si>
    <t>Industrias Jb S.A.S.</t>
  </si>
  <si>
    <t>Inmunizadora Rionegro S.A.S.</t>
  </si>
  <si>
    <t>Inversiones Gaviria Velasquez  Y Cia S.A.S</t>
  </si>
  <si>
    <t>Invesa S.A.</t>
  </si>
  <si>
    <t>K5 Equipos S.A.S</t>
  </si>
  <si>
    <t>Londoño Restrepo  Ruben Dario</t>
  </si>
  <si>
    <t>Lopez Serna  Daniel Alonso</t>
  </si>
  <si>
    <t>Macrollantas S.A.</t>
  </si>
  <si>
    <t>Marllantas  S.A</t>
  </si>
  <si>
    <t>Materiales Construnorte S.A.S</t>
  </si>
  <si>
    <t>Materiales El Titan  1 S.A.S.</t>
  </si>
  <si>
    <t>Materiales Su Construccion S.A</t>
  </si>
  <si>
    <t>Materiales Trinidad S.A.S</t>
  </si>
  <si>
    <t>Medina Y Cia. S. A.</t>
  </si>
  <si>
    <t>Mejia Diaz  Herman Dario</t>
  </si>
  <si>
    <t>Montoya Ochoa  Antonio De Jesus</t>
  </si>
  <si>
    <t>Muebles Plasticos Dummi S.A.S.</t>
  </si>
  <si>
    <t>Mundial De Tornillos S.A.</t>
  </si>
  <si>
    <t>Nivel Empresarial Outsourcing S.A.S</t>
  </si>
  <si>
    <t>Olaflex S.A.S</t>
  </si>
  <si>
    <t>Ortega Acevedo  Laura Cristina</t>
  </si>
  <si>
    <t>Ortega Cardona  Ana Cilia</t>
  </si>
  <si>
    <t>Osorio Ferreteros SAS</t>
  </si>
  <si>
    <t>Osorio Henao  Sigifredo De Jesus</t>
  </si>
  <si>
    <t>Parque Ambiental Mundo Limpio S.A.S.</t>
  </si>
  <si>
    <t>Pinturas Y Yesos S.A</t>
  </si>
  <si>
    <t>Pisende S.A.S.</t>
  </si>
  <si>
    <t>Plastipolimeros SAS</t>
  </si>
  <si>
    <t>Poliuretanos Y Quimicos S.A.S.</t>
  </si>
  <si>
    <t>Prisma Caucho S.A.S</t>
  </si>
  <si>
    <t>Protokimica Sas</t>
  </si>
  <si>
    <t>Quimicos J.M. S.A.</t>
  </si>
  <si>
    <t>Quimiresinas De Colombia S.A.S.</t>
  </si>
  <si>
    <t>Restrepo Gonzalez  Ruben Dario</t>
  </si>
  <si>
    <t>Risan S.A.S.</t>
  </si>
  <si>
    <t>Rua Gonzalez  Malfi Del Socorro</t>
  </si>
  <si>
    <t>Ruiz Yerena  Rafael Enrique</t>
  </si>
  <si>
    <t>S.C. Recycling S.A</t>
  </si>
  <si>
    <t>Semn- Ingenieria Construccion Y Ambiente SAS</t>
  </si>
  <si>
    <t>Sodimac Colombia S A</t>
  </si>
  <si>
    <t>Soluciones Ambientales 4r S.A.S.</t>
  </si>
  <si>
    <t>Toro Cardona  Willian Alberto</t>
  </si>
  <si>
    <t>Uribe Ruiz  Gustavo Adolfo</t>
  </si>
  <si>
    <t>Uribe Ruiz  Juan Rodrigo</t>
  </si>
  <si>
    <t>Valencia Perez  Andres Julian</t>
  </si>
  <si>
    <t>Velasquez Suarez  Carlos Andres</t>
  </si>
  <si>
    <t>Ventas Y Servicios Karol Dav S E U</t>
  </si>
  <si>
    <t>Zuluaga Zuluaga  Hugo</t>
  </si>
  <si>
    <t>Materias primas</t>
  </si>
  <si>
    <t>Devoluciones Alfaquimicos S.A.S.</t>
  </si>
  <si>
    <t>Devoluciones Berrio Bedoya S.A.S.</t>
  </si>
  <si>
    <t>Devoluciones Ecology Rubber SAS</t>
  </si>
  <si>
    <t>Devoluciones Eko Group Colombia S.A.S</t>
  </si>
  <si>
    <t>Devoluciones Protokimica Sas</t>
  </si>
  <si>
    <t>Devoluciones Uribe Ruiz  Juan Rodrigo</t>
  </si>
  <si>
    <t xml:space="preserve">Propiedad Planta y Equipo </t>
  </si>
  <si>
    <t xml:space="preserve">Maquinaria y equipo </t>
  </si>
  <si>
    <t>Equipo de procesamiento de datos Almacenes Éxito SA</t>
  </si>
  <si>
    <t>Equipo de telecomunicación</t>
  </si>
  <si>
    <t xml:space="preserve">Camiones, volquetas y furgones </t>
  </si>
  <si>
    <t xml:space="preserve">Depreciación acumulada </t>
  </si>
  <si>
    <t xml:space="preserve">Maquinaria y equipo  Ecology Rubber </t>
  </si>
  <si>
    <t xml:space="preserve">Equipo de oficina Ecology Rubber </t>
  </si>
  <si>
    <t>Equipo de computación y comunicación Ecology Rubber</t>
  </si>
  <si>
    <t xml:space="preserve">Flota y equipo de transporte </t>
  </si>
  <si>
    <t>Maquinaria y equipo</t>
  </si>
  <si>
    <t>Equipo de procesamiento de datos.</t>
  </si>
  <si>
    <t xml:space="preserve">Intangibles </t>
  </si>
  <si>
    <t xml:space="preserve">Marcas adquiridas </t>
  </si>
  <si>
    <t>Marcas</t>
  </si>
  <si>
    <t xml:space="preserve">Pasivo </t>
  </si>
  <si>
    <t xml:space="preserve">Proveedores </t>
  </si>
  <si>
    <t xml:space="preserve">Proveedores Nacionales </t>
  </si>
  <si>
    <t>Bronces Y Laminas Medellin S.A.S.</t>
  </si>
  <si>
    <t>D.A. Electro Gas Sas</t>
  </si>
  <si>
    <t>Mosquera Tabares  William Alexander</t>
  </si>
  <si>
    <t>Ortiz Granada  Margarita</t>
  </si>
  <si>
    <t>Pquim S. A. S.</t>
  </si>
  <si>
    <t>Protokimica SAS</t>
  </si>
  <si>
    <t>Semn- Ingenieria Construccion Y Ambiente Sas</t>
  </si>
  <si>
    <t>Todo Tapicero S A</t>
  </si>
  <si>
    <t xml:space="preserve">Cuentas por pagar </t>
  </si>
  <si>
    <t xml:space="preserve">Gastos legales </t>
  </si>
  <si>
    <t>Camara De Comercio De Medellin Para Antioquia</t>
  </si>
  <si>
    <t xml:space="preserve">Libros, suscripciones, periódicos y revistas </t>
  </si>
  <si>
    <t>Arboleda Tamayo  Claudia Elena</t>
  </si>
  <si>
    <t xml:space="preserve">Honorarios Nestor Augusto Ramirez Ospina </t>
  </si>
  <si>
    <t xml:space="preserve">Servicios de mantenimiento </t>
  </si>
  <si>
    <t>Autoamerica S.A.</t>
  </si>
  <si>
    <t>Autollantas Nutibara S.A.</t>
  </si>
  <si>
    <t>Lopez Cortes  Heiner</t>
  </si>
  <si>
    <t xml:space="preserve">Seguros </t>
  </si>
  <si>
    <t>Compañía Mundial De Seguros S.A.</t>
  </si>
  <si>
    <t>Seguros Generales Suramericana S. A.</t>
  </si>
  <si>
    <t>Almacenes Exito Sa</t>
  </si>
  <si>
    <t>D.A. Electro Gas SAS</t>
  </si>
  <si>
    <t>Ecology Rubber Sas</t>
  </si>
  <si>
    <t>Grupo Eds Autogas S.A.S Texaco Aguatala</t>
  </si>
  <si>
    <t>Imc Airport Shoppes S.A.S.</t>
  </si>
  <si>
    <t>Industrial De Pinturas Jmf Sas</t>
  </si>
  <si>
    <t>Inversiones Truve S.A.S</t>
  </si>
  <si>
    <t>Jimenez Marquez  Diana Lucia</t>
  </si>
  <si>
    <t>La Receta Y Cia S.A.S</t>
  </si>
  <si>
    <t>Municipio De Medellin</t>
  </si>
  <si>
    <t>Orrego Avendaño  Martha Nelly</t>
  </si>
  <si>
    <t>Paisalub Sas</t>
  </si>
  <si>
    <t>Rodriguez Castañeda  Libia Yaneth</t>
  </si>
  <si>
    <t>Sabores De India S.A.S.</t>
  </si>
  <si>
    <t>Servicentros De Energia S.A.</t>
  </si>
  <si>
    <t>Soluciones Alegra S.A.S</t>
  </si>
  <si>
    <t>Torres Rodriguez  Luisa Maria</t>
  </si>
  <si>
    <t>Trume S.A</t>
  </si>
  <si>
    <t>Zuluaga Vasquez  Jose Fernando</t>
  </si>
  <si>
    <t xml:space="preserve">Deudas con accionistas o socios </t>
  </si>
  <si>
    <t xml:space="preserve">Johann David Orrego Flórez </t>
  </si>
  <si>
    <t>Honorarios declarantes 11%</t>
  </si>
  <si>
    <t xml:space="preserve">Servicios </t>
  </si>
  <si>
    <t xml:space="preserve">Compras </t>
  </si>
  <si>
    <t>Compra De Combustibles Y Derivados Del Petroleo 0,1%</t>
  </si>
  <si>
    <t>Autorretenciones</t>
  </si>
  <si>
    <t>Abad + Ip S.A.S.</t>
  </si>
  <si>
    <t>Conjunto Nuevo Conquistadores Boreal P.H</t>
  </si>
  <si>
    <t>Consorcio La Ceiba</t>
  </si>
  <si>
    <t>Consorcio Vias E Intervenciones Urbanas Guatape</t>
  </si>
  <si>
    <t>Constructora Asdelogy S.A.S</t>
  </si>
  <si>
    <t>Constructora Duran Ocampo S.A</t>
  </si>
  <si>
    <t>Corporacion Colegio Cumbres</t>
  </si>
  <si>
    <t>Etapa 1 Urbanización Orange - Propiedad Horizontal</t>
  </si>
  <si>
    <t>Mogacon Sas</t>
  </si>
  <si>
    <t>Muros Y Techos S.A Ingenieros Arquitectos</t>
  </si>
  <si>
    <t>Promotora Aliadas Sur S.A.S</t>
  </si>
  <si>
    <t>Religiosas De Jesus Maria</t>
  </si>
  <si>
    <t>Seguridad Privada Dorchester Ltda</t>
  </si>
  <si>
    <t>Simon &amp; Bony Parques  Sas</t>
  </si>
  <si>
    <t>Soluciones Civiles S.A</t>
  </si>
  <si>
    <t>Urbanizacion "Castillo De La Castellana" -P.H.-</t>
  </si>
  <si>
    <t>Urbanizacion Mirador De Arboleda - Propiedad Horizontal</t>
  </si>
  <si>
    <t xml:space="preserve">Retenciones y aportes de Nómina </t>
  </si>
  <si>
    <t>Aportes EPS</t>
  </si>
  <si>
    <t>Aleman Vasquez  Juan Fernando</t>
  </si>
  <si>
    <t>Florez Orrego  Johann David</t>
  </si>
  <si>
    <t>Hernandez Berrio  Moises</t>
  </si>
  <si>
    <t>Iniciarte Soto  Wilfrendrinks Yonhaike</t>
  </si>
  <si>
    <t>Lopez Vasquez  Abercio Jose</t>
  </si>
  <si>
    <t>Madera Garcia  Yerlis Paola</t>
  </si>
  <si>
    <t>Mendez Lora  Dairo Antonio</t>
  </si>
  <si>
    <t>Piñeres Garcia  Jose Ignacio</t>
  </si>
  <si>
    <t>Polo Bornacelli  Yiffer Dayann</t>
  </si>
  <si>
    <t>Polo Serrano  Federman Jose</t>
  </si>
  <si>
    <t>Sanchez Abat  Brenda Isabel</t>
  </si>
  <si>
    <t>Tordecilla Navarro  Wilson Dario</t>
  </si>
  <si>
    <t>Tordecilla Navarro  Yan Carlos</t>
  </si>
  <si>
    <t>Vargas Tuiran  Vanesa</t>
  </si>
  <si>
    <t xml:space="preserve">Fondos </t>
  </si>
  <si>
    <t>Impuesto, Gravámenes y Tasas</t>
  </si>
  <si>
    <t xml:space="preserve">Impuesto sobre las ventas por pagar </t>
  </si>
  <si>
    <t>IVA generado AIU del 19%</t>
  </si>
  <si>
    <t>IVA generado 19%</t>
  </si>
  <si>
    <t>IVA Devoluciones en compra 19%</t>
  </si>
  <si>
    <t xml:space="preserve">IVA descontable en compras </t>
  </si>
  <si>
    <t>Iva por compras del 19%</t>
  </si>
  <si>
    <t>Compañia Mundial De Seguros S.A.</t>
  </si>
  <si>
    <t>IVA por servicios del 19%</t>
  </si>
  <si>
    <t>Devolución en ventas IVA 19%</t>
  </si>
  <si>
    <t xml:space="preserve">IVA no deducible efectivo </t>
  </si>
  <si>
    <t xml:space="preserve">Obligaciones Laborales </t>
  </si>
  <si>
    <t xml:space="preserve">Sueldos </t>
  </si>
  <si>
    <t xml:space="preserve">Cesantias consolidadas </t>
  </si>
  <si>
    <t>Florez Orrego  Luisa Carolina</t>
  </si>
  <si>
    <t>Peña Gutierrez  Jhon Alexis</t>
  </si>
  <si>
    <t>Tordecilla Diaz  Jose Dario</t>
  </si>
  <si>
    <t>Yanes Llanes  Walter Enrique</t>
  </si>
  <si>
    <t xml:space="preserve">Prima de servicios </t>
  </si>
  <si>
    <t xml:space="preserve">Vacaciones </t>
  </si>
  <si>
    <t xml:space="preserve">Otros pasivos </t>
  </si>
  <si>
    <t>Administracion Integral Del Caribe S.A.S</t>
  </si>
  <si>
    <t>Colegio Parroquial Nuestra Señora Del Buen Consejo</t>
  </si>
  <si>
    <t>Colegio Parroquial San Buenaventura</t>
  </si>
  <si>
    <t>Compañia De Servicios S.A</t>
  </si>
  <si>
    <t>Contratos, Ingenieria Y Proyectos S.A.S. Coninproy S.A.S.</t>
  </si>
  <si>
    <t>Convel S.A.S</t>
  </si>
  <si>
    <t>Convias S.A.S</t>
  </si>
  <si>
    <t>Edificio Basilea Propiedad Horizontal</t>
  </si>
  <si>
    <t>Edificio Monteclaro-Propiedad Horizontal</t>
  </si>
  <si>
    <t>Fundacion El Quinto Elemento</t>
  </si>
  <si>
    <t>Global Arquitectura Y Construcción Sas</t>
  </si>
  <si>
    <t>O&amp;P Civiles S.A.S</t>
  </si>
  <si>
    <t>Umbral Propiedad Raiz S.A.S.</t>
  </si>
  <si>
    <t>Urbanizacion Cantizal P-H.</t>
  </si>
  <si>
    <t>Urbanizacion Sauces De La Calera P.H.</t>
  </si>
  <si>
    <t>Viainco S.A.S</t>
  </si>
  <si>
    <t>Cumplimiento Obligaciones Laborales</t>
  </si>
  <si>
    <t>Antcipos clientes</t>
  </si>
  <si>
    <t>Retenciones a terceros sobre contratos</t>
  </si>
  <si>
    <t xml:space="preserve">Patrimonio </t>
  </si>
  <si>
    <t xml:space="preserve">Capital social </t>
  </si>
  <si>
    <t xml:space="preserve">Capital Autorizado </t>
  </si>
  <si>
    <t xml:space="preserve">Superavit de capital </t>
  </si>
  <si>
    <t xml:space="preserve">Prima en colocación de acciones </t>
  </si>
  <si>
    <t xml:space="preserve">Resultado del ejercicio </t>
  </si>
  <si>
    <t>Utilidad del ejercicio</t>
  </si>
  <si>
    <t>Perdida del ejercicio</t>
  </si>
  <si>
    <t>Resultados de ejercicios anteriores</t>
  </si>
  <si>
    <t>Utilidades acumuladas</t>
  </si>
  <si>
    <t>Perdidas acumuladas</t>
  </si>
  <si>
    <t>Ecology Rubber S.A.S reclasificación</t>
  </si>
  <si>
    <t xml:space="preserve">Ingresos </t>
  </si>
  <si>
    <t xml:space="preserve">Ingresos operacionales </t>
  </si>
  <si>
    <t>Elaboración De Pasta Y Productos De Madera, Papel Y Cartón</t>
  </si>
  <si>
    <t xml:space="preserve">Actividades conexas </t>
  </si>
  <si>
    <t xml:space="preserve">Administración </t>
  </si>
  <si>
    <t>Utilidad</t>
  </si>
  <si>
    <t xml:space="preserve">No operacionales </t>
  </si>
  <si>
    <t xml:space="preserve">Financieros </t>
  </si>
  <si>
    <t>Intereses</t>
  </si>
  <si>
    <t>Recuperaciones</t>
  </si>
  <si>
    <t xml:space="preserve">Reintegro provisiones </t>
  </si>
  <si>
    <t xml:space="preserve">Reintegro de otros costos y gastos </t>
  </si>
  <si>
    <t xml:space="preserve">Diversos </t>
  </si>
  <si>
    <t xml:space="preserve">Ajuste al peso </t>
  </si>
  <si>
    <t>Indusrias manufactureras</t>
  </si>
  <si>
    <t>Devoluciones Constructora Asdelogy S.A.S</t>
  </si>
  <si>
    <t>Devoluciones Simon &amp; Bony Parques  Sas</t>
  </si>
  <si>
    <t>Devoluciones</t>
  </si>
  <si>
    <t xml:space="preserve">Gastos </t>
  </si>
  <si>
    <t xml:space="preserve">Operacionales de administración </t>
  </si>
  <si>
    <t xml:space="preserve">Gastos de personal </t>
  </si>
  <si>
    <t xml:space="preserve">Auxilio de transporte </t>
  </si>
  <si>
    <t>Cesantías</t>
  </si>
  <si>
    <t xml:space="preserve">Intereses a las cesantías </t>
  </si>
  <si>
    <t xml:space="preserve">Dotación y suministro a trabajadores </t>
  </si>
  <si>
    <t>Aportes A Administradoras De Riesgos Profesionales A.R.P.</t>
  </si>
  <si>
    <t>Seguro De Riesgos Laborales Suramericana S.A.</t>
  </si>
  <si>
    <t xml:space="preserve">Aportes a fondos de pensiones y/o cesantías </t>
  </si>
  <si>
    <t xml:space="preserve">Protección de pesniones obligatorias </t>
  </si>
  <si>
    <t>Aportes a caja de compensación familiar</t>
  </si>
  <si>
    <t xml:space="preserve">Caja de compensación familiar de antioquía comfama </t>
  </si>
  <si>
    <t>Honorarios</t>
  </si>
  <si>
    <t xml:space="preserve">Ramirez Ospina Nestor Augusto </t>
  </si>
  <si>
    <t xml:space="preserve">Impuestos </t>
  </si>
  <si>
    <t>Municipio De Medellin ICA</t>
  </si>
  <si>
    <t xml:space="preserve">Seguros Cumplimiento </t>
  </si>
  <si>
    <t>Credimapfre S. A. S</t>
  </si>
  <si>
    <t>Departamento De Antioquia</t>
  </si>
  <si>
    <t xml:space="preserve">Procesanmiento electrónico de datos </t>
  </si>
  <si>
    <t xml:space="preserve">Transportes, fletes y acarreos </t>
  </si>
  <si>
    <t>Depreciaciones</t>
  </si>
  <si>
    <t>El Punto De La Impresora, Cableados Y Accesorios S.A.S</t>
  </si>
  <si>
    <t>Estacion De Servicio Regional S. A.</t>
  </si>
  <si>
    <t xml:space="preserve">Gastos bancarios </t>
  </si>
  <si>
    <t xml:space="preserve">Comisiones </t>
  </si>
  <si>
    <t xml:space="preserve">Gastos extraordinarios </t>
  </si>
  <si>
    <t>Costos Y Gastos De Ejercicios Anteriores</t>
  </si>
  <si>
    <t xml:space="preserve">Impuestos asumidos </t>
  </si>
  <si>
    <t xml:space="preserve">Gastos no deducibles </t>
  </si>
  <si>
    <t>Gastos diversos</t>
  </si>
  <si>
    <t>Otros</t>
  </si>
  <si>
    <t>Impuesto de renta y complementarios</t>
  </si>
  <si>
    <t xml:space="preserve">Impuesto de renta y complementarios </t>
  </si>
  <si>
    <t>Costos de producción y de operación</t>
  </si>
  <si>
    <t xml:space="preserve">Mano de obra directa </t>
  </si>
  <si>
    <t xml:space="preserve">Cesantías </t>
  </si>
  <si>
    <t>Asociacion Mutual Ser Empresa Solidaria De Salud Eps-S</t>
  </si>
  <si>
    <t>Eps Y Medicina Prepagada Suramericana S. A</t>
  </si>
  <si>
    <t>Administradora Colombiana De Pensiones Colpensiones</t>
  </si>
  <si>
    <t>Porvenir S.A. Afpc</t>
  </si>
  <si>
    <t>Proteccion Fondo De Pensiones Obligatorias</t>
  </si>
  <si>
    <t>Caja Colombiana De Subsidio Familiar Colsubsidio</t>
  </si>
  <si>
    <t>Caja De Compensacion Familiar De Antioquia Comfama</t>
  </si>
  <si>
    <t>Contrato de servicios</t>
  </si>
  <si>
    <t>Otros servicios</t>
  </si>
  <si>
    <t xml:space="preserve">Total </t>
  </si>
  <si>
    <t>ECOLOGY 420 RUBBER SAS</t>
  </si>
  <si>
    <t>NIT 900.374.908-1</t>
  </si>
  <si>
    <t>ESTADO DE SITUACION FINANCIERA</t>
  </si>
  <si>
    <t>ESTADO DE RESULTADOS</t>
  </si>
  <si>
    <t>Elaborado Bajo Normas Internacionales de Información Financiera</t>
  </si>
  <si>
    <t xml:space="preserve">Activos </t>
  </si>
  <si>
    <t xml:space="preserve">Notas </t>
  </si>
  <si>
    <t xml:space="preserve">Activo corriente </t>
  </si>
  <si>
    <t xml:space="preserve">Efectivo y equivalente </t>
  </si>
  <si>
    <t xml:space="preserve">Costo de la mercancia </t>
  </si>
  <si>
    <t xml:space="preserve">Deudores comerciales </t>
  </si>
  <si>
    <t xml:space="preserve">Utilidad bruta en ventas </t>
  </si>
  <si>
    <t>Otras cuentas corrientes comerciales</t>
  </si>
  <si>
    <t xml:space="preserve">Gastos ordinarios </t>
  </si>
  <si>
    <t xml:space="preserve">Total activo corriente </t>
  </si>
  <si>
    <t>Personal (Beneficios a Empleados)</t>
  </si>
  <si>
    <t xml:space="preserve">Activo no corriente </t>
  </si>
  <si>
    <t xml:space="preserve">Propiedad planta y equipo </t>
  </si>
  <si>
    <t>Arrendamientos</t>
  </si>
  <si>
    <t xml:space="preserve">Total activo no corriente </t>
  </si>
  <si>
    <t xml:space="preserve">Total activo </t>
  </si>
  <si>
    <t>Pasivo</t>
  </si>
  <si>
    <t>Pasivo corriente</t>
  </si>
  <si>
    <t xml:space="preserve">Mantenimiento </t>
  </si>
  <si>
    <t xml:space="preserve">Obligaciones financieras y acreedores comerciales </t>
  </si>
  <si>
    <t>Impuestos gravámenes y tasas</t>
  </si>
  <si>
    <t xml:space="preserve">Beneficios a empleados </t>
  </si>
  <si>
    <t xml:space="preserve">Depreciación </t>
  </si>
  <si>
    <t xml:space="preserve">Otros pasivos ingresos diferidos </t>
  </si>
  <si>
    <t xml:space="preserve">Otros gastos ordinarios </t>
  </si>
  <si>
    <t>Total pasivo corriente</t>
  </si>
  <si>
    <t xml:space="preserve">Total gastos ordinarios </t>
  </si>
  <si>
    <t>Pasivo no corriente</t>
  </si>
  <si>
    <t>Total utilidad bruta en operaciones</t>
  </si>
  <si>
    <t xml:space="preserve">Deudas con socios </t>
  </si>
  <si>
    <t xml:space="preserve">Ingresos no operacionales </t>
  </si>
  <si>
    <t>Total pasivo no corriente</t>
  </si>
  <si>
    <t xml:space="preserve">Total pasivo </t>
  </si>
  <si>
    <t>Patrimonio</t>
  </si>
  <si>
    <t>Capital</t>
  </si>
  <si>
    <t>Prima en colocación de acciones</t>
  </si>
  <si>
    <t xml:space="preserve">Total ingresos no operacionales </t>
  </si>
  <si>
    <t xml:space="preserve">Resultados del periodo </t>
  </si>
  <si>
    <t xml:space="preserve">Gastos no operacionales </t>
  </si>
  <si>
    <t xml:space="preserve">Resultados acumulados </t>
  </si>
  <si>
    <t xml:space="preserve">Total patrimonio </t>
  </si>
  <si>
    <t xml:space="preserve">Extraordinarios </t>
  </si>
  <si>
    <t xml:space="preserve">Total pasivo y patrimonio </t>
  </si>
  <si>
    <t xml:space="preserve">Gastos Diversos </t>
  </si>
  <si>
    <t xml:space="preserve">Total gastos no operacionales </t>
  </si>
  <si>
    <t xml:space="preserve">Utilidad antes de impuestos </t>
  </si>
  <si>
    <t xml:space="preserve">Impuesto a las ganancias </t>
  </si>
  <si>
    <t xml:space="preserve">Resultado del periodo </t>
  </si>
  <si>
    <t>Inventario</t>
  </si>
  <si>
    <t>Entre 01/01/2022 al 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</si>
</sst>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MS Sans Serif"/>
    </font>
    <font>
      <sz val="11"/>
      <color rgb="FF00206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/>
    <xf numFmtId="164" fontId="2" fillId="2" borderId="1" xfId="1" applyNumberFormat="1" applyFont="1" applyFill="1" applyBorder="1"/>
    <xf numFmtId="164" fontId="2" fillId="2" borderId="2" xfId="1" applyNumberFormat="1" applyFont="1" applyFill="1" applyBorder="1"/>
    <xf numFmtId="0" fontId="2" fillId="2" borderId="2" xfId="0" applyFont="1" applyFill="1" applyBorder="1"/>
    <xf numFmtId="0" fontId="0" fillId="0" borderId="2" xfId="0" applyBorder="1"/>
    <xf numFmtId="164" fontId="0" fillId="0" borderId="2" xfId="1" applyNumberFormat="1" applyFont="1" applyBorder="1"/>
    <xf numFmtId="0" fontId="5" fillId="0" borderId="0" xfId="0" applyFont="1"/>
    <xf numFmtId="0" fontId="0" fillId="0" borderId="3" xfId="0" applyBorder="1"/>
    <xf numFmtId="164" fontId="0" fillId="0" borderId="3" xfId="1" applyNumberFormat="1" applyFont="1" applyBorder="1"/>
    <xf numFmtId="165" fontId="2" fillId="2" borderId="2" xfId="1" applyNumberFormat="1" applyFont="1" applyFill="1" applyBorder="1"/>
    <xf numFmtId="165" fontId="5" fillId="0" borderId="2" xfId="1" applyNumberFormat="1" applyFont="1" applyBorder="1"/>
    <xf numFmtId="165" fontId="1" fillId="0" borderId="2" xfId="1" applyNumberFormat="1" applyFont="1" applyBorder="1"/>
    <xf numFmtId="165" fontId="0" fillId="0" borderId="2" xfId="1" applyNumberFormat="1" applyFont="1" applyBorder="1"/>
    <xf numFmtId="165" fontId="0" fillId="0" borderId="2" xfId="1" applyNumberFormat="1" applyFont="1" applyFill="1" applyBorder="1"/>
    <xf numFmtId="0" fontId="5" fillId="3" borderId="2" xfId="0" applyFont="1" applyFill="1" applyBorder="1"/>
    <xf numFmtId="165" fontId="5" fillId="3" borderId="2" xfId="1" applyNumberFormat="1" applyFont="1" applyFill="1" applyBorder="1"/>
    <xf numFmtId="165" fontId="1" fillId="0" borderId="2" xfId="1" applyNumberFormat="1" applyFont="1" applyFill="1" applyBorder="1"/>
    <xf numFmtId="0" fontId="6" fillId="0" borderId="2" xfId="0" applyFont="1" applyBorder="1"/>
    <xf numFmtId="165" fontId="6" fillId="0" borderId="2" xfId="1" applyNumberFormat="1" applyFont="1" applyFill="1" applyBorder="1"/>
    <xf numFmtId="165" fontId="1" fillId="0" borderId="0" xfId="1" applyNumberFormat="1" applyFont="1" applyFill="1"/>
    <xf numFmtId="165" fontId="5" fillId="0" borderId="0" xfId="0" applyNumberFormat="1" applyFont="1"/>
    <xf numFmtId="0" fontId="3" fillId="4" borderId="2" xfId="0" applyFont="1" applyFill="1" applyBorder="1"/>
    <xf numFmtId="165" fontId="3" fillId="4" borderId="2" xfId="1" applyNumberFormat="1" applyFont="1" applyFill="1" applyBorder="1"/>
    <xf numFmtId="164" fontId="5" fillId="3" borderId="2" xfId="1" applyNumberFormat="1" applyFont="1" applyFill="1" applyBorder="1"/>
    <xf numFmtId="0" fontId="7" fillId="0" borderId="2" xfId="0" applyFont="1" applyBorder="1"/>
    <xf numFmtId="164" fontId="7" fillId="0" borderId="2" xfId="1" applyNumberFormat="1" applyFont="1" applyBorder="1"/>
    <xf numFmtId="164" fontId="0" fillId="0" borderId="2" xfId="1" applyNumberFormat="1" applyFont="1" applyFill="1" applyBorder="1"/>
    <xf numFmtId="164" fontId="6" fillId="0" borderId="2" xfId="1" applyNumberFormat="1" applyFont="1" applyBorder="1"/>
    <xf numFmtId="164" fontId="3" fillId="4" borderId="2" xfId="1" applyNumberFormat="1" applyFont="1" applyFill="1" applyBorder="1"/>
    <xf numFmtId="0" fontId="5" fillId="3" borderId="0" xfId="0" applyFont="1" applyFill="1"/>
    <xf numFmtId="0" fontId="8" fillId="5" borderId="2" xfId="0" applyFont="1" applyFill="1" applyBorder="1"/>
    <xf numFmtId="164" fontId="8" fillId="5" borderId="2" xfId="1" applyNumberFormat="1" applyFont="1" applyFill="1" applyBorder="1"/>
    <xf numFmtId="0" fontId="4" fillId="0" borderId="3" xfId="0" applyFont="1" applyBorder="1" applyAlignment="1">
      <alignment horizontal="center" vertical="center"/>
    </xf>
    <xf numFmtId="0" fontId="0" fillId="0" borderId="2" xfId="0" applyFont="1" applyBorder="1"/>
    <xf numFmtId="164" fontId="1" fillId="0" borderId="2" xfId="1" applyNumberFormat="1" applyFont="1" applyBorder="1"/>
    <xf numFmtId="0" fontId="0" fillId="0" borderId="0" xfId="0" applyFont="1"/>
    <xf numFmtId="0" fontId="0" fillId="0" borderId="4" xfId="0" applyBorder="1"/>
    <xf numFmtId="164" fontId="0" fillId="0" borderId="4" xfId="1" applyNumberFormat="1" applyFont="1" applyBorder="1"/>
    <xf numFmtId="164" fontId="1" fillId="0" borderId="4" xfId="1" applyNumberFormat="1" applyFont="1" applyBorder="1"/>
    <xf numFmtId="164" fontId="2" fillId="2" borderId="4" xfId="1" applyNumberFormat="1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10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/>
    </xf>
    <xf numFmtId="164" fontId="10" fillId="0" borderId="0" xfId="1" applyNumberFormat="1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7" borderId="0" xfId="0" applyFont="1" applyFill="1"/>
    <xf numFmtId="164" fontId="12" fillId="7" borderId="0" xfId="0" applyNumberFormat="1" applyFont="1" applyFill="1"/>
    <xf numFmtId="0" fontId="12" fillId="6" borderId="0" xfId="0" applyFont="1" applyFill="1"/>
    <xf numFmtId="164" fontId="12" fillId="6" borderId="0" xfId="0" applyNumberFormat="1" applyFont="1" applyFill="1"/>
    <xf numFmtId="164" fontId="10" fillId="0" borderId="0" xfId="0" applyNumberFormat="1" applyFont="1"/>
    <xf numFmtId="0" fontId="12" fillId="0" borderId="0" xfId="0" applyFont="1"/>
    <xf numFmtId="0" fontId="9" fillId="6" borderId="0" xfId="0" applyFont="1" applyFill="1"/>
    <xf numFmtId="164" fontId="9" fillId="6" borderId="0" xfId="0" applyNumberFormat="1" applyFont="1" applyFill="1"/>
    <xf numFmtId="0" fontId="9" fillId="7" borderId="0" xfId="0" applyFont="1" applyFill="1"/>
    <xf numFmtId="164" fontId="9" fillId="7" borderId="0" xfId="1" applyNumberFormat="1" applyFont="1" applyFill="1"/>
    <xf numFmtId="164" fontId="9" fillId="7" borderId="0" xfId="0" applyNumberFormat="1" applyFont="1" applyFill="1"/>
    <xf numFmtId="164" fontId="12" fillId="0" borderId="0" xfId="0" applyNumberFormat="1" applyFont="1"/>
    <xf numFmtId="164" fontId="10" fillId="0" borderId="0" xfId="1" applyNumberFormat="1" applyFont="1" applyFill="1"/>
    <xf numFmtId="0" fontId="12" fillId="0" borderId="0" xfId="0" applyFont="1" applyAlignment="1">
      <alignment vertical="center"/>
    </xf>
    <xf numFmtId="44" fontId="10" fillId="0" borderId="0" xfId="1" applyFont="1"/>
    <xf numFmtId="164" fontId="10" fillId="8" borderId="0" xfId="1" applyNumberFormat="1" applyFont="1" applyFill="1"/>
    <xf numFmtId="164" fontId="9" fillId="8" borderId="0" xfId="0" applyNumberFormat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B32D-5725-404E-B42E-CA2D272CBDA6}">
  <dimension ref="A1:H813"/>
  <sheetViews>
    <sheetView tabSelected="1" topLeftCell="A805" zoomScaleNormal="100" workbookViewId="0">
      <pane xSplit="1" topLeftCell="B1" activePane="topRight" state="frozen"/>
      <selection activeCell="A684" sqref="A684"/>
      <selection pane="topRight" activeCell="A203" sqref="A203:XFD203"/>
    </sheetView>
  </sheetViews>
  <sheetFormatPr baseColWidth="10" defaultRowHeight="15" x14ac:dyDescent="0.25"/>
  <cols>
    <col min="2" max="2" width="53.7109375" bestFit="1" customWidth="1"/>
    <col min="3" max="6" width="15.5703125" bestFit="1" customWidth="1"/>
  </cols>
  <sheetData>
    <row r="1" spans="1:6" x14ac:dyDescent="0.25">
      <c r="A1" s="33" t="s">
        <v>394</v>
      </c>
      <c r="B1" s="33"/>
      <c r="C1" s="33"/>
      <c r="D1" s="33"/>
      <c r="E1" s="33"/>
      <c r="F1" s="33"/>
    </row>
    <row r="2" spans="1:6" x14ac:dyDescent="0.25">
      <c r="A2" s="33" t="s">
        <v>0</v>
      </c>
      <c r="B2" s="33"/>
      <c r="C2" s="33"/>
      <c r="D2" s="33"/>
      <c r="E2" s="33"/>
      <c r="F2" s="33"/>
    </row>
    <row r="3" spans="1:6" x14ac:dyDescent="0.25">
      <c r="A3" s="33" t="s">
        <v>1</v>
      </c>
      <c r="B3" s="33"/>
      <c r="C3" s="33"/>
      <c r="D3" s="33"/>
      <c r="E3" s="33"/>
      <c r="F3" s="33"/>
    </row>
    <row r="4" spans="1:6" x14ac:dyDescent="0.25">
      <c r="A4" s="33" t="s">
        <v>2</v>
      </c>
      <c r="B4" s="33"/>
      <c r="C4" s="33"/>
      <c r="D4" s="33"/>
      <c r="E4" s="33"/>
      <c r="F4" s="33"/>
    </row>
    <row r="5" spans="1:6" x14ac:dyDescent="0.25">
      <c r="A5" s="8" t="s">
        <v>3</v>
      </c>
      <c r="B5" s="8" t="s">
        <v>4</v>
      </c>
      <c r="C5" s="9" t="s">
        <v>5</v>
      </c>
      <c r="D5" s="9" t="s">
        <v>6</v>
      </c>
      <c r="E5" s="9" t="s">
        <v>7</v>
      </c>
      <c r="F5" s="9" t="s">
        <v>8</v>
      </c>
    </row>
    <row r="6" spans="1:6" ht="15.75" thickBot="1" x14ac:dyDescent="0.3">
      <c r="A6" s="1">
        <v>1</v>
      </c>
      <c r="B6" s="1" t="s">
        <v>9</v>
      </c>
      <c r="C6" s="2">
        <f>+C7+C17+C102+C203+C216</f>
        <v>275107775.236</v>
      </c>
      <c r="D6" s="2">
        <f t="shared" ref="D6:F6" si="0">+D7+D17+D102+D203+D216</f>
        <v>1377102414</v>
      </c>
      <c r="E6" s="2">
        <f t="shared" si="0"/>
        <v>1008665028</v>
      </c>
      <c r="F6" s="2">
        <f t="shared" si="0"/>
        <v>643545161.23600006</v>
      </c>
    </row>
    <row r="7" spans="1:6" ht="15.75" thickBot="1" x14ac:dyDescent="0.3">
      <c r="A7" s="4">
        <v>11</v>
      </c>
      <c r="B7" s="4" t="s">
        <v>10</v>
      </c>
      <c r="C7" s="10">
        <f>+C8+C14</f>
        <v>13744861</v>
      </c>
      <c r="D7" s="10">
        <f t="shared" ref="D7:E7" si="1">+D8+D14</f>
        <v>674851507</v>
      </c>
      <c r="E7" s="10">
        <f t="shared" si="1"/>
        <v>659303641</v>
      </c>
      <c r="F7" s="10">
        <f>+F8</f>
        <v>29292727</v>
      </c>
    </row>
    <row r="8" spans="1:6" s="7" customFormat="1" ht="15.75" thickBot="1" x14ac:dyDescent="0.3">
      <c r="A8" s="15">
        <v>1105</v>
      </c>
      <c r="B8" s="15" t="s">
        <v>11</v>
      </c>
      <c r="C8" s="16">
        <f>+SUM(C9:C10)</f>
        <v>13707299</v>
      </c>
      <c r="D8" s="16">
        <f t="shared" ref="D8" si="2">+SUM(D9:D10)</f>
        <v>219193776</v>
      </c>
      <c r="E8" s="16">
        <f>+SUM(E9:E10)</f>
        <v>203608348</v>
      </c>
      <c r="F8" s="16">
        <f>+SUM(F9:F10)</f>
        <v>29292727</v>
      </c>
    </row>
    <row r="9" spans="1:6" ht="15.75" thickBot="1" x14ac:dyDescent="0.3">
      <c r="A9" s="5">
        <v>110505</v>
      </c>
      <c r="B9" s="5" t="s">
        <v>12</v>
      </c>
      <c r="C9" s="12">
        <v>13707299</v>
      </c>
      <c r="D9" s="12">
        <v>219193776</v>
      </c>
      <c r="E9" s="12">
        <v>203608348</v>
      </c>
      <c r="F9" s="12">
        <f>+C9+D9-E9</f>
        <v>29292727</v>
      </c>
    </row>
    <row r="10" spans="1:6" ht="15.75" thickBot="1" x14ac:dyDescent="0.3">
      <c r="A10" s="5">
        <v>110510</v>
      </c>
      <c r="B10" s="5" t="s">
        <v>18</v>
      </c>
      <c r="C10" s="12">
        <v>0</v>
      </c>
      <c r="D10" s="12">
        <v>0</v>
      </c>
      <c r="E10" s="12">
        <v>0</v>
      </c>
      <c r="F10" s="12">
        <f>+C10+D10-E10</f>
        <v>0</v>
      </c>
    </row>
    <row r="11" spans="1:6" s="7" customFormat="1" ht="15.75" thickBot="1" x14ac:dyDescent="0.3">
      <c r="A11" s="15">
        <v>1110</v>
      </c>
      <c r="B11" s="15" t="s">
        <v>14</v>
      </c>
      <c r="C11" s="16">
        <f ca="1">+SUM(C11:C13)</f>
        <v>0</v>
      </c>
      <c r="D11" s="16">
        <f t="shared" ref="D11" ca="1" si="3">+SUM(D11:D13)</f>
        <v>0</v>
      </c>
      <c r="E11" s="16">
        <f ca="1">+SUM(E11:E13)</f>
        <v>0</v>
      </c>
      <c r="F11" s="16">
        <f ca="1">+C11+D11-E11</f>
        <v>0</v>
      </c>
    </row>
    <row r="12" spans="1:6" s="7" customFormat="1" ht="15.75" thickBot="1" x14ac:dyDescent="0.3">
      <c r="A12" s="5">
        <v>111005</v>
      </c>
      <c r="B12" s="5" t="s">
        <v>16</v>
      </c>
      <c r="C12" s="11">
        <v>0</v>
      </c>
      <c r="D12" s="11">
        <v>0</v>
      </c>
      <c r="E12" s="11">
        <v>0</v>
      </c>
      <c r="F12" s="11">
        <v>0</v>
      </c>
    </row>
    <row r="13" spans="1:6" s="7" customFormat="1" ht="15.75" thickBot="1" x14ac:dyDescent="0.3">
      <c r="A13" s="5">
        <v>101010</v>
      </c>
      <c r="B13" s="5" t="s">
        <v>17</v>
      </c>
      <c r="C13" s="11">
        <v>0</v>
      </c>
      <c r="D13" s="11">
        <v>0</v>
      </c>
      <c r="E13" s="11">
        <v>0</v>
      </c>
      <c r="F13" s="11">
        <v>0</v>
      </c>
    </row>
    <row r="14" spans="1:6" s="7" customFormat="1" ht="15.75" thickBot="1" x14ac:dyDescent="0.3">
      <c r="A14" s="15">
        <v>1120</v>
      </c>
      <c r="B14" s="15" t="s">
        <v>13</v>
      </c>
      <c r="C14" s="16">
        <f>+SUM(C15:C16)</f>
        <v>37562</v>
      </c>
      <c r="D14" s="16">
        <f t="shared" ref="D14:E14" si="4">+SUM(D15:D16)</f>
        <v>455657731</v>
      </c>
      <c r="E14" s="16">
        <f t="shared" si="4"/>
        <v>455695293</v>
      </c>
      <c r="F14" s="16">
        <f>+SUM(F15:F16)</f>
        <v>0</v>
      </c>
    </row>
    <row r="15" spans="1:6" ht="15.75" thickBot="1" x14ac:dyDescent="0.3">
      <c r="A15" s="5">
        <v>112005</v>
      </c>
      <c r="B15" s="5" t="s">
        <v>15</v>
      </c>
      <c r="C15" s="12">
        <v>37562</v>
      </c>
      <c r="D15" s="12">
        <v>455657731</v>
      </c>
      <c r="E15" s="12">
        <v>455695293</v>
      </c>
      <c r="F15" s="12">
        <f>+C15+D15-E15</f>
        <v>0</v>
      </c>
    </row>
    <row r="16" spans="1:6" ht="15.75" thickBot="1" x14ac:dyDescent="0.3">
      <c r="A16" s="5">
        <v>112020</v>
      </c>
      <c r="B16" s="5" t="s">
        <v>19</v>
      </c>
      <c r="C16" s="13">
        <v>0</v>
      </c>
      <c r="D16" s="13">
        <v>0</v>
      </c>
      <c r="E16" s="13">
        <v>0</v>
      </c>
      <c r="F16" s="12">
        <f>+C16+D16-E16</f>
        <v>0</v>
      </c>
    </row>
    <row r="17" spans="1:6" ht="15.75" thickBot="1" x14ac:dyDescent="0.3">
      <c r="A17" s="4">
        <v>13</v>
      </c>
      <c r="B17" s="4" t="s">
        <v>20</v>
      </c>
      <c r="C17" s="10">
        <f>+C18+C45+C48+C56+C100</f>
        <v>213095423</v>
      </c>
      <c r="D17" s="10">
        <f>+D18+D45+D48+D56+D100</f>
        <v>543396183</v>
      </c>
      <c r="E17" s="10">
        <f>+E18+E45+E48+E56+E100</f>
        <v>347172924</v>
      </c>
      <c r="F17" s="10">
        <f>+C17+D17-E17</f>
        <v>409318682</v>
      </c>
    </row>
    <row r="18" spans="1:6" s="7" customFormat="1" ht="15.75" thickBot="1" x14ac:dyDescent="0.3">
      <c r="A18" s="15">
        <v>1305</v>
      </c>
      <c r="B18" s="15" t="s">
        <v>21</v>
      </c>
      <c r="C18" s="16">
        <f>+SUM(C19:C44)</f>
        <v>185739788</v>
      </c>
      <c r="D18" s="16">
        <f>+SUM(D19:D44)</f>
        <v>454205744</v>
      </c>
      <c r="E18" s="16">
        <f>+SUM(E19:E44)</f>
        <v>329320092</v>
      </c>
      <c r="F18" s="16">
        <f>+SUM(F19:F44)</f>
        <v>310625440</v>
      </c>
    </row>
    <row r="19" spans="1:6" ht="15.75" thickBot="1" x14ac:dyDescent="0.3">
      <c r="A19" s="5">
        <v>130505</v>
      </c>
      <c r="B19" s="5" t="s">
        <v>58</v>
      </c>
      <c r="C19" s="13">
        <v>0</v>
      </c>
      <c r="D19" s="13">
        <v>4218253</v>
      </c>
      <c r="E19" s="13">
        <v>0</v>
      </c>
      <c r="F19" s="14">
        <f>+C19+D19-E19</f>
        <v>4218253</v>
      </c>
    </row>
    <row r="20" spans="1:6" ht="15.75" thickBot="1" x14ac:dyDescent="0.3">
      <c r="A20" s="5">
        <v>130505</v>
      </c>
      <c r="B20" s="5" t="s">
        <v>22</v>
      </c>
      <c r="C20" s="13">
        <v>12655650</v>
      </c>
      <c r="D20" s="13">
        <v>0</v>
      </c>
      <c r="E20" s="13">
        <v>12655650</v>
      </c>
      <c r="F20" s="14">
        <f t="shared" ref="F20:F80" si="5">+C20+D20-E20</f>
        <v>0</v>
      </c>
    </row>
    <row r="21" spans="1:6" ht="15.75" thickBot="1" x14ac:dyDescent="0.3">
      <c r="A21" s="5">
        <v>130505</v>
      </c>
      <c r="B21" s="5" t="s">
        <v>59</v>
      </c>
      <c r="C21" s="13">
        <v>9145745</v>
      </c>
      <c r="D21" s="13">
        <v>0</v>
      </c>
      <c r="E21" s="13">
        <v>0</v>
      </c>
      <c r="F21" s="14">
        <f t="shared" si="5"/>
        <v>9145745</v>
      </c>
    </row>
    <row r="22" spans="1:6" ht="15.75" thickBot="1" x14ac:dyDescent="0.3">
      <c r="A22" s="5">
        <v>130505</v>
      </c>
      <c r="B22" s="5" t="s">
        <v>60</v>
      </c>
      <c r="C22" s="13">
        <v>0</v>
      </c>
      <c r="D22" s="13">
        <v>4652662</v>
      </c>
      <c r="E22" s="13">
        <v>4652662</v>
      </c>
      <c r="F22" s="14">
        <f t="shared" si="5"/>
        <v>0</v>
      </c>
    </row>
    <row r="23" spans="1:6" ht="15.75" thickBot="1" x14ac:dyDescent="0.3">
      <c r="A23" s="5">
        <v>130505</v>
      </c>
      <c r="B23" s="5" t="s">
        <v>23</v>
      </c>
      <c r="C23" s="13">
        <v>0</v>
      </c>
      <c r="D23" s="13">
        <v>9708523</v>
      </c>
      <c r="E23" s="13">
        <v>0</v>
      </c>
      <c r="F23" s="14">
        <f t="shared" si="5"/>
        <v>9708523</v>
      </c>
    </row>
    <row r="24" spans="1:6" ht="15.75" thickBot="1" x14ac:dyDescent="0.3">
      <c r="A24" s="5">
        <v>130505</v>
      </c>
      <c r="B24" s="5" t="s">
        <v>24</v>
      </c>
      <c r="C24" s="13">
        <v>22551635</v>
      </c>
      <c r="D24" s="13">
        <v>0</v>
      </c>
      <c r="E24" s="13">
        <v>0</v>
      </c>
      <c r="F24" s="14">
        <f t="shared" si="5"/>
        <v>22551635</v>
      </c>
    </row>
    <row r="25" spans="1:6" ht="15.75" thickBot="1" x14ac:dyDescent="0.3">
      <c r="A25" s="5">
        <v>130505</v>
      </c>
      <c r="B25" s="5" t="s">
        <v>25</v>
      </c>
      <c r="C25" s="13">
        <v>0</v>
      </c>
      <c r="D25" s="13">
        <v>65607296</v>
      </c>
      <c r="E25" s="13">
        <v>0</v>
      </c>
      <c r="F25" s="14">
        <f t="shared" si="5"/>
        <v>65607296</v>
      </c>
    </row>
    <row r="26" spans="1:6" ht="15.75" thickBot="1" x14ac:dyDescent="0.3">
      <c r="A26" s="5">
        <v>130505</v>
      </c>
      <c r="B26" s="5" t="s">
        <v>61</v>
      </c>
      <c r="C26" s="13">
        <v>755650</v>
      </c>
      <c r="D26" s="13">
        <v>755650</v>
      </c>
      <c r="E26" s="13">
        <v>1511300</v>
      </c>
      <c r="F26" s="14">
        <f t="shared" si="5"/>
        <v>0</v>
      </c>
    </row>
    <row r="27" spans="1:6" ht="15.75" thickBot="1" x14ac:dyDescent="0.3">
      <c r="A27" s="5">
        <v>130505</v>
      </c>
      <c r="B27" s="5" t="s">
        <v>62</v>
      </c>
      <c r="C27" s="13">
        <v>0</v>
      </c>
      <c r="D27" s="13">
        <v>357000</v>
      </c>
      <c r="E27" s="13">
        <v>0</v>
      </c>
      <c r="F27" s="14">
        <f t="shared" si="5"/>
        <v>357000</v>
      </c>
    </row>
    <row r="28" spans="1:6" ht="15.75" thickBot="1" x14ac:dyDescent="0.3">
      <c r="A28" s="5">
        <v>130505</v>
      </c>
      <c r="B28" s="5" t="s">
        <v>63</v>
      </c>
      <c r="C28" s="13">
        <v>22391914</v>
      </c>
      <c r="D28" s="13">
        <v>0</v>
      </c>
      <c r="E28" s="13">
        <v>21512938</v>
      </c>
      <c r="F28" s="14">
        <f t="shared" si="5"/>
        <v>878976</v>
      </c>
    </row>
    <row r="29" spans="1:6" ht="15.75" thickBot="1" x14ac:dyDescent="0.3">
      <c r="A29" s="5">
        <v>130505</v>
      </c>
      <c r="B29" s="5" t="s">
        <v>26</v>
      </c>
      <c r="C29" s="13">
        <v>0</v>
      </c>
      <c r="D29" s="13">
        <v>175955403</v>
      </c>
      <c r="E29" s="13">
        <v>168858043</v>
      </c>
      <c r="F29" s="14">
        <f t="shared" si="5"/>
        <v>7097360</v>
      </c>
    </row>
    <row r="30" spans="1:6" ht="15.75" thickBot="1" x14ac:dyDescent="0.3">
      <c r="A30" s="5">
        <v>130505</v>
      </c>
      <c r="B30" s="5" t="s">
        <v>27</v>
      </c>
      <c r="C30" s="13">
        <v>2838150</v>
      </c>
      <c r="D30" s="13">
        <v>0</v>
      </c>
      <c r="E30" s="13">
        <v>0</v>
      </c>
      <c r="F30" s="14">
        <f t="shared" si="5"/>
        <v>2838150</v>
      </c>
    </row>
    <row r="31" spans="1:6" ht="15.75" thickBot="1" x14ac:dyDescent="0.3">
      <c r="A31" s="5">
        <v>130505</v>
      </c>
      <c r="B31" s="5" t="s">
        <v>28</v>
      </c>
      <c r="C31" s="13">
        <v>0</v>
      </c>
      <c r="D31" s="13">
        <v>8925000</v>
      </c>
      <c r="E31" s="13">
        <v>0</v>
      </c>
      <c r="F31" s="14">
        <f t="shared" si="5"/>
        <v>8925000</v>
      </c>
    </row>
    <row r="32" spans="1:6" ht="15.75" thickBot="1" x14ac:dyDescent="0.3">
      <c r="A32" s="5">
        <v>130505</v>
      </c>
      <c r="B32" s="5" t="s">
        <v>64</v>
      </c>
      <c r="C32" s="13">
        <v>3570000</v>
      </c>
      <c r="D32" s="13">
        <v>0</v>
      </c>
      <c r="E32" s="13">
        <v>0</v>
      </c>
      <c r="F32" s="14">
        <f t="shared" si="5"/>
        <v>3570000</v>
      </c>
    </row>
    <row r="33" spans="1:8" ht="15.75" thickBot="1" x14ac:dyDescent="0.3">
      <c r="A33" s="5">
        <v>130505</v>
      </c>
      <c r="B33" s="5" t="s">
        <v>65</v>
      </c>
      <c r="C33" s="13">
        <v>0</v>
      </c>
      <c r="D33" s="13">
        <v>56049076</v>
      </c>
      <c r="E33" s="13">
        <v>51813768</v>
      </c>
      <c r="F33" s="14">
        <f t="shared" si="5"/>
        <v>4235308</v>
      </c>
    </row>
    <row r="34" spans="1:8" ht="15.75" thickBot="1" x14ac:dyDescent="0.3">
      <c r="A34" s="5">
        <v>130505</v>
      </c>
      <c r="B34" s="5" t="s">
        <v>66</v>
      </c>
      <c r="C34" s="13">
        <v>2835581</v>
      </c>
      <c r="D34" s="13">
        <v>3133242</v>
      </c>
      <c r="E34" s="13">
        <v>5968823</v>
      </c>
      <c r="F34" s="14">
        <f t="shared" si="5"/>
        <v>0</v>
      </c>
    </row>
    <row r="35" spans="1:8" ht="15.75" thickBot="1" x14ac:dyDescent="0.3">
      <c r="A35" s="5">
        <v>130505</v>
      </c>
      <c r="B35" s="5" t="s">
        <v>67</v>
      </c>
      <c r="C35" s="13">
        <v>1014924</v>
      </c>
      <c r="D35" s="13">
        <v>4543420</v>
      </c>
      <c r="E35" s="13">
        <v>4543420</v>
      </c>
      <c r="F35" s="14">
        <f t="shared" si="5"/>
        <v>1014924</v>
      </c>
    </row>
    <row r="36" spans="1:8" ht="15.75" thickBot="1" x14ac:dyDescent="0.3">
      <c r="A36" s="5">
        <v>130505</v>
      </c>
      <c r="B36" s="5" t="s">
        <v>29</v>
      </c>
      <c r="C36" s="13">
        <v>0</v>
      </c>
      <c r="D36" s="13">
        <v>30224148</v>
      </c>
      <c r="E36" s="13">
        <v>30224148</v>
      </c>
      <c r="F36" s="14">
        <f t="shared" si="5"/>
        <v>0</v>
      </c>
    </row>
    <row r="37" spans="1:8" ht="15.75" thickBot="1" x14ac:dyDescent="0.3">
      <c r="A37" s="5">
        <v>130505</v>
      </c>
      <c r="B37" s="5" t="s">
        <v>30</v>
      </c>
      <c r="C37" s="13">
        <v>0</v>
      </c>
      <c r="D37" s="13">
        <v>2356200</v>
      </c>
      <c r="E37" s="13">
        <v>2356200</v>
      </c>
      <c r="F37" s="14">
        <f t="shared" si="5"/>
        <v>0</v>
      </c>
    </row>
    <row r="38" spans="1:8" ht="15.75" thickBot="1" x14ac:dyDescent="0.3">
      <c r="A38" s="5">
        <v>130505</v>
      </c>
      <c r="B38" s="5" t="s">
        <v>68</v>
      </c>
      <c r="C38" s="13">
        <v>96414089</v>
      </c>
      <c r="D38" s="13">
        <v>31422331</v>
      </c>
      <c r="E38" s="13">
        <v>11959526</v>
      </c>
      <c r="F38" s="14">
        <f t="shared" si="5"/>
        <v>115876894</v>
      </c>
    </row>
    <row r="39" spans="1:8" ht="15.75" thickBot="1" x14ac:dyDescent="0.3">
      <c r="A39" s="5">
        <v>130505</v>
      </c>
      <c r="B39" s="5" t="s">
        <v>69</v>
      </c>
      <c r="C39" s="13">
        <v>0</v>
      </c>
      <c r="D39" s="13">
        <v>46052354</v>
      </c>
      <c r="E39" s="13">
        <v>476000</v>
      </c>
      <c r="F39" s="14">
        <f t="shared" si="5"/>
        <v>45576354</v>
      </c>
    </row>
    <row r="40" spans="1:8" ht="15.75" thickBot="1" x14ac:dyDescent="0.3">
      <c r="A40" s="5">
        <v>130505</v>
      </c>
      <c r="B40" s="5" t="s">
        <v>70</v>
      </c>
      <c r="C40" s="13">
        <v>1428840</v>
      </c>
      <c r="D40" s="13">
        <v>0</v>
      </c>
      <c r="E40" s="13">
        <v>0</v>
      </c>
      <c r="F40" s="14">
        <f t="shared" si="5"/>
        <v>1428840</v>
      </c>
    </row>
    <row r="41" spans="1:8" ht="15.75" thickBot="1" x14ac:dyDescent="0.3">
      <c r="A41" s="5">
        <v>130505</v>
      </c>
      <c r="B41" s="5" t="s">
        <v>71</v>
      </c>
      <c r="C41" s="13">
        <v>0</v>
      </c>
      <c r="D41" s="13">
        <v>5406170</v>
      </c>
      <c r="E41" s="13">
        <v>1980748</v>
      </c>
      <c r="F41" s="14">
        <f t="shared" si="5"/>
        <v>3425422</v>
      </c>
    </row>
    <row r="42" spans="1:8" ht="15.75" thickBot="1" x14ac:dyDescent="0.3">
      <c r="A42" s="5">
        <v>130505</v>
      </c>
      <c r="B42" s="5" t="s">
        <v>72</v>
      </c>
      <c r="C42" s="13">
        <v>5967850</v>
      </c>
      <c r="D42" s="13">
        <v>0</v>
      </c>
      <c r="E42" s="13">
        <v>5967850</v>
      </c>
      <c r="F42" s="14">
        <f t="shared" si="5"/>
        <v>0</v>
      </c>
    </row>
    <row r="43" spans="1:8" ht="15.75" thickBot="1" x14ac:dyDescent="0.3">
      <c r="A43" s="5">
        <v>130505</v>
      </c>
      <c r="B43" s="5" t="s">
        <v>31</v>
      </c>
      <c r="C43" s="13">
        <v>0</v>
      </c>
      <c r="D43" s="13">
        <v>4839016</v>
      </c>
      <c r="E43" s="13">
        <v>4839016</v>
      </c>
      <c r="F43" s="14">
        <f t="shared" si="5"/>
        <v>0</v>
      </c>
    </row>
    <row r="44" spans="1:8" ht="15.75" thickBot="1" x14ac:dyDescent="0.3">
      <c r="A44" s="5">
        <v>130505</v>
      </c>
      <c r="B44" s="5" t="s">
        <v>73</v>
      </c>
      <c r="C44" s="13">
        <v>4169760</v>
      </c>
      <c r="D44" s="13">
        <v>0</v>
      </c>
      <c r="E44" s="13">
        <v>0</v>
      </c>
      <c r="F44" s="14">
        <f>+C44+D44-E44</f>
        <v>4169760</v>
      </c>
    </row>
    <row r="45" spans="1:8" s="7" customFormat="1" ht="15.75" thickBot="1" x14ac:dyDescent="0.3">
      <c r="A45" s="15">
        <v>1325</v>
      </c>
      <c r="B45" s="15" t="s">
        <v>32</v>
      </c>
      <c r="C45" s="16">
        <f>+SUM(C46:C47)</f>
        <v>0</v>
      </c>
      <c r="D45" s="16">
        <f t="shared" ref="D45" si="6">+SUM(D46:D47)</f>
        <v>39330000</v>
      </c>
      <c r="E45" s="16">
        <f>+SUM(E46:E47)</f>
        <v>1629000</v>
      </c>
      <c r="F45" s="16">
        <f>+SUM(F46:F47)</f>
        <v>37701000</v>
      </c>
    </row>
    <row r="46" spans="1:8" ht="15.75" thickBot="1" x14ac:dyDescent="0.3">
      <c r="A46" s="5">
        <v>132505</v>
      </c>
      <c r="B46" s="5" t="s">
        <v>74</v>
      </c>
      <c r="C46" s="12">
        <v>0</v>
      </c>
      <c r="D46" s="12">
        <v>1900000</v>
      </c>
      <c r="E46" s="12">
        <v>1629000</v>
      </c>
      <c r="F46" s="17">
        <f>+C46+D46-E46</f>
        <v>271000</v>
      </c>
    </row>
    <row r="47" spans="1:8" ht="15.75" thickBot="1" x14ac:dyDescent="0.3">
      <c r="A47" s="5">
        <v>132505</v>
      </c>
      <c r="B47" s="5" t="s">
        <v>33</v>
      </c>
      <c r="C47" s="13">
        <v>0</v>
      </c>
      <c r="D47" s="13">
        <v>37430000</v>
      </c>
      <c r="E47" s="13"/>
      <c r="F47" s="14">
        <f t="shared" si="5"/>
        <v>37430000</v>
      </c>
    </row>
    <row r="48" spans="1:8" s="7" customFormat="1" ht="15.75" thickBot="1" x14ac:dyDescent="0.3">
      <c r="A48" s="15">
        <v>1330</v>
      </c>
      <c r="B48" s="15" t="s">
        <v>34</v>
      </c>
      <c r="C48" s="16">
        <f>+SUM(C49:C55)</f>
        <v>15877770</v>
      </c>
      <c r="D48" s="16">
        <f t="shared" ref="D48:E48" si="7">+SUM(D49:D55)</f>
        <v>29951325</v>
      </c>
      <c r="E48" s="16">
        <f t="shared" si="7"/>
        <v>3351000</v>
      </c>
      <c r="F48" s="16">
        <f>+SUM(F49:F55)</f>
        <v>42478095</v>
      </c>
      <c r="H48" s="21"/>
    </row>
    <row r="49" spans="1:6" ht="15.75" thickBot="1" x14ac:dyDescent="0.3">
      <c r="A49" s="5">
        <v>133005</v>
      </c>
      <c r="B49" s="5" t="s">
        <v>35</v>
      </c>
      <c r="C49" s="17">
        <v>4675470</v>
      </c>
      <c r="D49" s="17">
        <v>27146348</v>
      </c>
      <c r="E49" s="17">
        <v>3151000</v>
      </c>
      <c r="F49" s="17">
        <f>+C49+D49-E49</f>
        <v>28670818</v>
      </c>
    </row>
    <row r="50" spans="1:6" ht="15.75" thickBot="1" x14ac:dyDescent="0.3">
      <c r="A50" s="5">
        <v>133015</v>
      </c>
      <c r="B50" s="5" t="s">
        <v>36</v>
      </c>
      <c r="C50" s="17">
        <v>6410000</v>
      </c>
      <c r="D50" s="17">
        <v>820000</v>
      </c>
      <c r="E50" s="17">
        <v>0</v>
      </c>
      <c r="F50" s="17">
        <f t="shared" si="5"/>
        <v>7230000</v>
      </c>
    </row>
    <row r="51" spans="1:6" ht="15.75" thickBot="1" x14ac:dyDescent="0.3">
      <c r="A51" s="5">
        <v>133095</v>
      </c>
      <c r="B51" s="5" t="s">
        <v>75</v>
      </c>
      <c r="C51" s="17">
        <v>0</v>
      </c>
      <c r="D51" s="17">
        <v>332877</v>
      </c>
      <c r="E51" s="17">
        <v>0</v>
      </c>
      <c r="F51" s="17">
        <f t="shared" si="5"/>
        <v>332877</v>
      </c>
    </row>
    <row r="52" spans="1:6" ht="15.75" thickBot="1" x14ac:dyDescent="0.3">
      <c r="A52" s="5">
        <v>133095</v>
      </c>
      <c r="B52" s="5" t="s">
        <v>74</v>
      </c>
      <c r="C52" s="17">
        <v>3022300</v>
      </c>
      <c r="D52" s="17">
        <v>1452100</v>
      </c>
      <c r="E52" s="17">
        <v>0</v>
      </c>
      <c r="F52" s="17">
        <f t="shared" si="5"/>
        <v>4474400</v>
      </c>
    </row>
    <row r="53" spans="1:6" ht="15.75" thickBot="1" x14ac:dyDescent="0.3">
      <c r="A53" s="5">
        <v>133095</v>
      </c>
      <c r="B53" s="5" t="s">
        <v>38</v>
      </c>
      <c r="C53" s="17">
        <v>270000</v>
      </c>
      <c r="D53" s="17">
        <v>0</v>
      </c>
      <c r="E53" s="17">
        <v>0</v>
      </c>
      <c r="F53" s="17">
        <f t="shared" si="5"/>
        <v>270000</v>
      </c>
    </row>
    <row r="54" spans="1:6" ht="15.75" thickBot="1" x14ac:dyDescent="0.3">
      <c r="A54" s="5">
        <v>133095</v>
      </c>
      <c r="B54" s="5" t="s">
        <v>39</v>
      </c>
      <c r="C54" s="17">
        <v>1500000</v>
      </c>
      <c r="D54" s="20">
        <v>0</v>
      </c>
      <c r="E54" s="17">
        <v>0</v>
      </c>
      <c r="F54" s="17">
        <f t="shared" si="5"/>
        <v>1500000</v>
      </c>
    </row>
    <row r="55" spans="1:6" ht="15.75" thickBot="1" x14ac:dyDescent="0.3">
      <c r="A55" s="5">
        <v>133095</v>
      </c>
      <c r="B55" s="5" t="s">
        <v>40</v>
      </c>
      <c r="C55" s="17">
        <v>0</v>
      </c>
      <c r="D55" s="17">
        <v>200000</v>
      </c>
      <c r="E55" s="17">
        <v>200000</v>
      </c>
      <c r="F55" s="17">
        <f>+C55+D55-E55</f>
        <v>0</v>
      </c>
    </row>
    <row r="56" spans="1:6" ht="15.75" thickBot="1" x14ac:dyDescent="0.3">
      <c r="A56" s="15">
        <v>1355</v>
      </c>
      <c r="B56" s="15" t="s">
        <v>41</v>
      </c>
      <c r="C56" s="16">
        <f>+C57+C92+C94+C97+C98+C99</f>
        <v>12176648</v>
      </c>
      <c r="D56" s="16">
        <f>+D57+D92+D94+D97+D98+D99</f>
        <v>19909114</v>
      </c>
      <c r="E56" s="16">
        <f>+E57+E92+E94+E97+E98+E99</f>
        <v>12872832</v>
      </c>
      <c r="F56" s="16">
        <f>+F57+F92+F94+F97+F98+F99</f>
        <v>19212930</v>
      </c>
    </row>
    <row r="57" spans="1:6" ht="15.75" thickBot="1" x14ac:dyDescent="0.3">
      <c r="A57" s="22">
        <v>135515</v>
      </c>
      <c r="B57" s="22" t="s">
        <v>42</v>
      </c>
      <c r="C57" s="23">
        <f>+C58+C65+C72+C73</f>
        <v>4067073</v>
      </c>
      <c r="D57" s="23">
        <f>+D58+D65+D71+D72+D73</f>
        <v>4122714</v>
      </c>
      <c r="E57" s="23">
        <f>+E58+E65+E72+E73</f>
        <v>4095832</v>
      </c>
      <c r="F57" s="23">
        <f>+F58+F65+F72+F73+F71</f>
        <v>4093955</v>
      </c>
    </row>
    <row r="58" spans="1:6" ht="15.75" thickBot="1" x14ac:dyDescent="0.3">
      <c r="A58" s="18">
        <v>13551501</v>
      </c>
      <c r="B58" s="18" t="s">
        <v>43</v>
      </c>
      <c r="C58" s="19">
        <f>+SUM(C59:C64)</f>
        <v>380047</v>
      </c>
      <c r="D58" s="19">
        <f>+SUM(D59:D64)</f>
        <v>680750</v>
      </c>
      <c r="E58" s="19">
        <f>+SUM(E59:E64)</f>
        <v>380047</v>
      </c>
      <c r="F58" s="19">
        <f>+SUM(F59:F64)</f>
        <v>680750</v>
      </c>
    </row>
    <row r="59" spans="1:6" ht="15.75" thickBot="1" x14ac:dyDescent="0.3">
      <c r="A59" s="5"/>
      <c r="B59" s="5" t="s">
        <v>44</v>
      </c>
      <c r="C59" s="17">
        <v>380047</v>
      </c>
      <c r="D59" s="17"/>
      <c r="E59" s="17">
        <v>380047</v>
      </c>
      <c r="F59" s="17">
        <f>+C59+D59-E59</f>
        <v>0</v>
      </c>
    </row>
    <row r="60" spans="1:6" ht="15.75" thickBot="1" x14ac:dyDescent="0.3">
      <c r="A60" s="5"/>
      <c r="B60" s="5" t="s">
        <v>66</v>
      </c>
      <c r="C60" s="17"/>
      <c r="D60" s="17">
        <v>250444</v>
      </c>
      <c r="E60" s="17"/>
      <c r="F60" s="17">
        <f t="shared" si="5"/>
        <v>250444</v>
      </c>
    </row>
    <row r="61" spans="1:6" ht="15.75" thickBot="1" x14ac:dyDescent="0.3">
      <c r="A61" s="5"/>
      <c r="B61" s="5" t="s">
        <v>67</v>
      </c>
      <c r="C61" s="17"/>
      <c r="D61" s="17">
        <v>95450</v>
      </c>
      <c r="E61" s="17"/>
      <c r="F61" s="17">
        <f t="shared" si="5"/>
        <v>95450</v>
      </c>
    </row>
    <row r="62" spans="1:6" ht="15.75" thickBot="1" x14ac:dyDescent="0.3">
      <c r="A62" s="5"/>
      <c r="B62" s="5" t="s">
        <v>29</v>
      </c>
      <c r="C62" s="17"/>
      <c r="D62" s="17">
        <v>107821</v>
      </c>
      <c r="E62" s="17"/>
      <c r="F62" s="17">
        <f t="shared" si="5"/>
        <v>107821</v>
      </c>
    </row>
    <row r="63" spans="1:6" ht="15.75" thickBot="1" x14ac:dyDescent="0.3">
      <c r="A63" s="5"/>
      <c r="B63" s="5" t="s">
        <v>72</v>
      </c>
      <c r="C63" s="17"/>
      <c r="D63" s="17">
        <v>125375</v>
      </c>
      <c r="E63" s="17"/>
      <c r="F63" s="17">
        <f t="shared" si="5"/>
        <v>125375</v>
      </c>
    </row>
    <row r="64" spans="1:6" ht="15.75" thickBot="1" x14ac:dyDescent="0.3">
      <c r="A64" s="5"/>
      <c r="B64" s="5" t="s">
        <v>31</v>
      </c>
      <c r="C64" s="17"/>
      <c r="D64" s="17">
        <v>101660</v>
      </c>
      <c r="E64" s="17"/>
      <c r="F64" s="17">
        <f t="shared" si="5"/>
        <v>101660</v>
      </c>
    </row>
    <row r="65" spans="1:6" ht="15.75" thickBot="1" x14ac:dyDescent="0.3">
      <c r="A65" s="18">
        <v>13551502</v>
      </c>
      <c r="B65" s="18" t="s">
        <v>45</v>
      </c>
      <c r="C65" s="19">
        <f>+SUM(C66:C70)</f>
        <v>1811346</v>
      </c>
      <c r="D65" s="19">
        <f>+SUM(D66:D70)</f>
        <v>1514960</v>
      </c>
      <c r="E65" s="19">
        <f t="shared" ref="E65" si="8">+SUM(E66:E70)</f>
        <v>1811346</v>
      </c>
      <c r="F65" s="19">
        <f>+SUM(F66:F70)</f>
        <v>1514960</v>
      </c>
    </row>
    <row r="66" spans="1:6" ht="15.75" thickBot="1" x14ac:dyDescent="0.3">
      <c r="A66" s="5"/>
      <c r="B66" s="5" t="s">
        <v>22</v>
      </c>
      <c r="C66" s="17"/>
      <c r="D66" s="17">
        <v>425400</v>
      </c>
      <c r="E66" s="17"/>
      <c r="F66" s="17">
        <f>+C66+D66-E66</f>
        <v>425400</v>
      </c>
    </row>
    <row r="67" spans="1:6" ht="15.75" thickBot="1" x14ac:dyDescent="0.3">
      <c r="A67" s="5"/>
      <c r="B67" s="5" t="s">
        <v>61</v>
      </c>
      <c r="C67" s="17"/>
      <c r="D67" s="17">
        <v>25400</v>
      </c>
      <c r="E67" s="17"/>
      <c r="F67" s="17">
        <f>+C67+D67-E67</f>
        <v>25400</v>
      </c>
    </row>
    <row r="68" spans="1:6" ht="15.75" thickBot="1" x14ac:dyDescent="0.3">
      <c r="A68" s="5"/>
      <c r="B68" s="5" t="s">
        <v>44</v>
      </c>
      <c r="C68" s="17">
        <v>1811346</v>
      </c>
      <c r="D68" s="17"/>
      <c r="E68" s="17">
        <v>1811346</v>
      </c>
      <c r="F68" s="17">
        <f t="shared" si="5"/>
        <v>0</v>
      </c>
    </row>
    <row r="69" spans="1:6" ht="15.75" thickBot="1" x14ac:dyDescent="0.3">
      <c r="A69" s="5"/>
      <c r="B69" s="5" t="s">
        <v>29</v>
      </c>
      <c r="C69" s="17"/>
      <c r="D69" s="17">
        <v>984960</v>
      </c>
      <c r="E69" s="17"/>
      <c r="F69" s="17">
        <f>+C69+D69-E69</f>
        <v>984960</v>
      </c>
    </row>
    <row r="70" spans="1:6" ht="15.75" thickBot="1" x14ac:dyDescent="0.3">
      <c r="A70" s="5"/>
      <c r="B70" s="5" t="s">
        <v>30</v>
      </c>
      <c r="C70" s="17"/>
      <c r="D70" s="17">
        <v>79200</v>
      </c>
      <c r="E70" s="17"/>
      <c r="F70" s="17">
        <f>+C70+D70-E70</f>
        <v>79200</v>
      </c>
    </row>
    <row r="71" spans="1:6" ht="15.75" thickBot="1" x14ac:dyDescent="0.3">
      <c r="A71" s="18">
        <v>13551503</v>
      </c>
      <c r="B71" s="18" t="s">
        <v>46</v>
      </c>
      <c r="C71" s="19"/>
      <c r="D71" s="19">
        <v>276734</v>
      </c>
      <c r="E71" s="19"/>
      <c r="F71" s="19">
        <f>+C71+D71-E71</f>
        <v>276734</v>
      </c>
    </row>
    <row r="72" spans="1:6" ht="15.75" thickBot="1" x14ac:dyDescent="0.3">
      <c r="A72" s="18">
        <v>13551506</v>
      </c>
      <c r="B72" s="18" t="s">
        <v>47</v>
      </c>
      <c r="C72" s="19">
        <v>725184</v>
      </c>
      <c r="D72" s="19">
        <v>7800</v>
      </c>
      <c r="E72" s="19">
        <v>725184</v>
      </c>
      <c r="F72" s="19">
        <f>+C72+D72-E72</f>
        <v>7800</v>
      </c>
    </row>
    <row r="73" spans="1:6" ht="15.75" thickBot="1" x14ac:dyDescent="0.3">
      <c r="A73" s="18">
        <v>13551512</v>
      </c>
      <c r="B73" s="18" t="s">
        <v>48</v>
      </c>
      <c r="C73" s="19">
        <f>+SUM(C74:C91)</f>
        <v>1150496</v>
      </c>
      <c r="D73" s="19">
        <f>+SUM(D74:D91)</f>
        <v>1642470</v>
      </c>
      <c r="E73" s="19">
        <f>+SUM(E74:E91)</f>
        <v>1179255</v>
      </c>
      <c r="F73" s="19">
        <f>+SUM(F74:F91)</f>
        <v>1613711</v>
      </c>
    </row>
    <row r="74" spans="1:6" ht="15.75" thickBot="1" x14ac:dyDescent="0.3">
      <c r="A74" s="5"/>
      <c r="B74" s="5" t="s">
        <v>58</v>
      </c>
      <c r="C74" s="17"/>
      <c r="D74" s="17">
        <v>14179</v>
      </c>
      <c r="E74" s="17"/>
      <c r="F74" s="17">
        <f t="shared" si="5"/>
        <v>14179</v>
      </c>
    </row>
    <row r="75" spans="1:6" ht="15.75" thickBot="1" x14ac:dyDescent="0.3">
      <c r="A75" s="5"/>
      <c r="B75" s="5" t="s">
        <v>60</v>
      </c>
      <c r="C75" s="17"/>
      <c r="D75" s="17">
        <v>15639</v>
      </c>
      <c r="E75" s="17"/>
      <c r="F75" s="17">
        <f t="shared" si="5"/>
        <v>15639</v>
      </c>
    </row>
    <row r="76" spans="1:6" ht="15.75" thickBot="1" x14ac:dyDescent="0.3">
      <c r="A76" s="5"/>
      <c r="B76" s="5" t="s">
        <v>23</v>
      </c>
      <c r="C76" s="17"/>
      <c r="D76" s="17">
        <v>38110</v>
      </c>
      <c r="E76" s="17"/>
      <c r="F76" s="17">
        <f t="shared" si="5"/>
        <v>38110</v>
      </c>
    </row>
    <row r="77" spans="1:6" ht="15.75" thickBot="1" x14ac:dyDescent="0.3">
      <c r="A77" s="5"/>
      <c r="B77" s="5" t="s">
        <v>25</v>
      </c>
      <c r="C77" s="17"/>
      <c r="D77" s="17">
        <v>257536</v>
      </c>
      <c r="E77" s="17"/>
      <c r="F77" s="17">
        <f t="shared" si="5"/>
        <v>257536</v>
      </c>
    </row>
    <row r="78" spans="1:6" ht="15.75" thickBot="1" x14ac:dyDescent="0.3">
      <c r="A78" s="5"/>
      <c r="B78" s="5" t="s">
        <v>61</v>
      </c>
      <c r="C78" s="17"/>
      <c r="D78" s="17">
        <v>2540</v>
      </c>
      <c r="E78" s="17">
        <v>2540</v>
      </c>
      <c r="F78" s="17">
        <f t="shared" si="5"/>
        <v>0</v>
      </c>
    </row>
    <row r="79" spans="1:6" ht="15.75" thickBot="1" x14ac:dyDescent="0.3">
      <c r="A79" s="5"/>
      <c r="B79" s="5" t="s">
        <v>62</v>
      </c>
      <c r="C79" s="17"/>
      <c r="D79" s="17">
        <v>1200</v>
      </c>
      <c r="E79" s="17"/>
      <c r="F79" s="17">
        <f t="shared" si="5"/>
        <v>1200</v>
      </c>
    </row>
    <row r="80" spans="1:6" ht="15.75" thickBot="1" x14ac:dyDescent="0.3">
      <c r="A80" s="5"/>
      <c r="B80" s="5" t="s">
        <v>26</v>
      </c>
      <c r="C80" s="17"/>
      <c r="D80" s="17">
        <v>591447</v>
      </c>
      <c r="E80" s="17"/>
      <c r="F80" s="17">
        <f t="shared" si="5"/>
        <v>591447</v>
      </c>
    </row>
    <row r="81" spans="1:6" ht="15.75" thickBot="1" x14ac:dyDescent="0.3">
      <c r="A81" s="5"/>
      <c r="B81" s="5" t="s">
        <v>44</v>
      </c>
      <c r="C81" s="17">
        <v>1150496</v>
      </c>
      <c r="D81" s="17"/>
      <c r="E81" s="17">
        <v>1150496</v>
      </c>
      <c r="F81" s="17">
        <f>+C81+D81-E81</f>
        <v>0</v>
      </c>
    </row>
    <row r="82" spans="1:6" ht="15.75" thickBot="1" x14ac:dyDescent="0.3">
      <c r="A82" s="5"/>
      <c r="B82" s="5" t="s">
        <v>28</v>
      </c>
      <c r="C82" s="17"/>
      <c r="D82" s="17">
        <v>30000</v>
      </c>
      <c r="E82" s="17"/>
      <c r="F82" s="17">
        <f t="shared" ref="F82:F99" si="9">+C82+D82-E82</f>
        <v>30000</v>
      </c>
    </row>
    <row r="83" spans="1:6" ht="15.75" thickBot="1" x14ac:dyDescent="0.3">
      <c r="A83" s="5"/>
      <c r="B83" s="5" t="s">
        <v>65</v>
      </c>
      <c r="C83" s="17"/>
      <c r="D83" s="17">
        <v>220016</v>
      </c>
      <c r="E83" s="17"/>
      <c r="F83" s="17">
        <f t="shared" si="9"/>
        <v>220016</v>
      </c>
    </row>
    <row r="84" spans="1:6" ht="15.75" thickBot="1" x14ac:dyDescent="0.3">
      <c r="A84" s="5"/>
      <c r="B84" s="5" t="s">
        <v>66</v>
      </c>
      <c r="C84" s="17"/>
      <c r="D84" s="17">
        <v>12299</v>
      </c>
      <c r="E84" s="17"/>
      <c r="F84" s="17">
        <f t="shared" si="9"/>
        <v>12299</v>
      </c>
    </row>
    <row r="85" spans="1:6" ht="15.75" thickBot="1" x14ac:dyDescent="0.3">
      <c r="A85" s="5"/>
      <c r="B85" s="5" t="s">
        <v>67</v>
      </c>
      <c r="C85" s="17"/>
      <c r="D85" s="17">
        <v>15272</v>
      </c>
      <c r="E85" s="17"/>
      <c r="F85" s="17">
        <f t="shared" si="9"/>
        <v>15272</v>
      </c>
    </row>
    <row r="86" spans="1:6" ht="15.75" thickBot="1" x14ac:dyDescent="0.3">
      <c r="A86" s="5"/>
      <c r="B86" s="5" t="s">
        <v>29</v>
      </c>
      <c r="C86" s="17"/>
      <c r="D86" s="17">
        <v>115747</v>
      </c>
      <c r="E86" s="17"/>
      <c r="F86" s="17">
        <f t="shared" si="9"/>
        <v>115747</v>
      </c>
    </row>
    <row r="87" spans="1:6" ht="15.75" thickBot="1" x14ac:dyDescent="0.3">
      <c r="A87" s="5"/>
      <c r="B87" s="5" t="s">
        <v>30</v>
      </c>
      <c r="C87" s="17"/>
      <c r="D87" s="17">
        <v>7920</v>
      </c>
      <c r="E87" s="17"/>
      <c r="F87" s="17">
        <f t="shared" si="9"/>
        <v>7920</v>
      </c>
    </row>
    <row r="88" spans="1:6" ht="15.75" thickBot="1" x14ac:dyDescent="0.3">
      <c r="A88" s="5"/>
      <c r="B88" s="5" t="s">
        <v>68</v>
      </c>
      <c r="C88" s="17"/>
      <c r="D88" s="17">
        <v>105621</v>
      </c>
      <c r="E88" s="17">
        <v>26219</v>
      </c>
      <c r="F88" s="17">
        <f t="shared" si="9"/>
        <v>79402</v>
      </c>
    </row>
    <row r="89" spans="1:6" ht="15.75" thickBot="1" x14ac:dyDescent="0.3">
      <c r="A89" s="5"/>
      <c r="B89" s="5" t="s">
        <v>69</v>
      </c>
      <c r="C89" s="17"/>
      <c r="D89" s="17">
        <v>180506</v>
      </c>
      <c r="E89" s="17"/>
      <c r="F89" s="17">
        <f t="shared" si="9"/>
        <v>180506</v>
      </c>
    </row>
    <row r="90" spans="1:6" ht="15.75" thickBot="1" x14ac:dyDescent="0.3">
      <c r="A90" s="5"/>
      <c r="B90" s="5" t="s">
        <v>71</v>
      </c>
      <c r="C90" s="17"/>
      <c r="D90" s="17">
        <v>18172</v>
      </c>
      <c r="E90" s="17"/>
      <c r="F90" s="17">
        <f t="shared" si="9"/>
        <v>18172</v>
      </c>
    </row>
    <row r="91" spans="1:6" ht="15.75" thickBot="1" x14ac:dyDescent="0.3">
      <c r="A91" s="5"/>
      <c r="B91" s="5" t="s">
        <v>31</v>
      </c>
      <c r="C91" s="17"/>
      <c r="D91" s="17">
        <v>16266</v>
      </c>
      <c r="E91" s="17"/>
      <c r="F91" s="17">
        <f t="shared" si="9"/>
        <v>16266</v>
      </c>
    </row>
    <row r="92" spans="1:6" ht="15.75" thickBot="1" x14ac:dyDescent="0.3">
      <c r="A92" s="22">
        <v>135517</v>
      </c>
      <c r="B92" s="22" t="s">
        <v>49</v>
      </c>
      <c r="C92" s="23">
        <f>+C93</f>
        <v>0</v>
      </c>
      <c r="D92" s="23">
        <f>+D93</f>
        <v>11400</v>
      </c>
      <c r="E92" s="23">
        <f>+E93</f>
        <v>0</v>
      </c>
      <c r="F92" s="23">
        <f>+F93</f>
        <v>11400</v>
      </c>
    </row>
    <row r="93" spans="1:6" ht="15.75" thickBot="1" x14ac:dyDescent="0.3">
      <c r="A93" s="18">
        <v>13551702</v>
      </c>
      <c r="B93" s="18" t="s">
        <v>50</v>
      </c>
      <c r="C93" s="19">
        <v>0</v>
      </c>
      <c r="D93" s="19">
        <v>11400</v>
      </c>
      <c r="E93" s="19">
        <v>0</v>
      </c>
      <c r="F93" s="19">
        <f>+C93+D93-E93</f>
        <v>11400</v>
      </c>
    </row>
    <row r="94" spans="1:6" ht="15.75" thickBot="1" x14ac:dyDescent="0.3">
      <c r="A94" s="22">
        <v>135518</v>
      </c>
      <c r="B94" s="22" t="s">
        <v>51</v>
      </c>
      <c r="C94" s="23">
        <f>+SUM(C95:C96)</f>
        <v>33745</v>
      </c>
      <c r="D94" s="23">
        <f t="shared" ref="D94:F94" si="10">+SUM(D95:D96)</f>
        <v>0</v>
      </c>
      <c r="E94" s="23">
        <f t="shared" si="10"/>
        <v>0</v>
      </c>
      <c r="F94" s="23">
        <f t="shared" si="10"/>
        <v>33745</v>
      </c>
    </row>
    <row r="95" spans="1:6" ht="15.75" thickBot="1" x14ac:dyDescent="0.3">
      <c r="A95" s="18">
        <v>13551801</v>
      </c>
      <c r="B95" s="18" t="s">
        <v>52</v>
      </c>
      <c r="C95" s="19">
        <v>13585</v>
      </c>
      <c r="D95" s="19">
        <v>0</v>
      </c>
      <c r="E95" s="19">
        <v>0</v>
      </c>
      <c r="F95" s="19">
        <f t="shared" si="9"/>
        <v>13585</v>
      </c>
    </row>
    <row r="96" spans="1:6" ht="15.75" thickBot="1" x14ac:dyDescent="0.3">
      <c r="A96" s="18">
        <v>13551802</v>
      </c>
      <c r="B96" s="18" t="s">
        <v>53</v>
      </c>
      <c r="C96" s="19">
        <v>20160</v>
      </c>
      <c r="D96" s="19">
        <v>0</v>
      </c>
      <c r="E96" s="19">
        <v>0</v>
      </c>
      <c r="F96" s="19">
        <f t="shared" si="9"/>
        <v>20160</v>
      </c>
    </row>
    <row r="97" spans="1:6" ht="15.75" thickBot="1" x14ac:dyDescent="0.3">
      <c r="A97" s="22">
        <v>135520</v>
      </c>
      <c r="B97" s="22" t="s">
        <v>54</v>
      </c>
      <c r="C97" s="23">
        <v>0</v>
      </c>
      <c r="D97" s="23">
        <v>15775000</v>
      </c>
      <c r="E97" s="23">
        <v>8777000</v>
      </c>
      <c r="F97" s="23">
        <f>+C97+D97-E97</f>
        <v>6998000</v>
      </c>
    </row>
    <row r="98" spans="1:6" ht="15.75" thickBot="1" x14ac:dyDescent="0.3">
      <c r="A98" s="22">
        <v>135530</v>
      </c>
      <c r="B98" s="22" t="s">
        <v>55</v>
      </c>
      <c r="C98" s="23">
        <v>7911830</v>
      </c>
      <c r="D98" s="23">
        <v>0</v>
      </c>
      <c r="E98" s="23">
        <v>0</v>
      </c>
      <c r="F98" s="23">
        <f t="shared" si="9"/>
        <v>7911830</v>
      </c>
    </row>
    <row r="99" spans="1:6" ht="15.75" thickBot="1" x14ac:dyDescent="0.3">
      <c r="A99" s="22">
        <v>135595</v>
      </c>
      <c r="B99" s="22" t="s">
        <v>37</v>
      </c>
      <c r="C99" s="23">
        <v>164000</v>
      </c>
      <c r="D99" s="23">
        <v>0</v>
      </c>
      <c r="E99" s="23">
        <v>0</v>
      </c>
      <c r="F99" s="23">
        <f t="shared" si="9"/>
        <v>164000</v>
      </c>
    </row>
    <row r="100" spans="1:6" ht="15.75" thickBot="1" x14ac:dyDescent="0.3">
      <c r="A100" s="15">
        <v>1399</v>
      </c>
      <c r="B100" s="15" t="s">
        <v>56</v>
      </c>
      <c r="C100" s="16">
        <f>+SUM(C101)</f>
        <v>-698783</v>
      </c>
      <c r="D100" s="16">
        <v>0</v>
      </c>
      <c r="E100" s="16">
        <v>0</v>
      </c>
      <c r="F100" s="16">
        <f>+C100+D100-E100</f>
        <v>-698783</v>
      </c>
    </row>
    <row r="101" spans="1:6" ht="15.75" thickBot="1" x14ac:dyDescent="0.3">
      <c r="A101" s="5">
        <v>139905</v>
      </c>
      <c r="B101" s="5" t="s">
        <v>57</v>
      </c>
      <c r="C101" s="17">
        <f>-(698783)</f>
        <v>-698783</v>
      </c>
      <c r="D101" s="17">
        <v>0</v>
      </c>
      <c r="E101" s="17">
        <v>0</v>
      </c>
      <c r="F101" s="17">
        <f>+C101+D101-E101</f>
        <v>-698783</v>
      </c>
    </row>
    <row r="102" spans="1:6" ht="15.75" thickBot="1" x14ac:dyDescent="0.3">
      <c r="A102" s="4">
        <v>14</v>
      </c>
      <c r="B102" s="4" t="s">
        <v>77</v>
      </c>
      <c r="C102" s="3">
        <f>+C103</f>
        <v>0</v>
      </c>
      <c r="D102" s="3">
        <f>+D103</f>
        <v>156244797</v>
      </c>
      <c r="E102" s="3">
        <f>+E103</f>
        <v>1318487</v>
      </c>
      <c r="F102" s="3">
        <f t="shared" ref="F102:F165" si="11">+C102+D102-E102</f>
        <v>154926310</v>
      </c>
    </row>
    <row r="103" spans="1:6" s="7" customFormat="1" ht="15.75" thickBot="1" x14ac:dyDescent="0.3">
      <c r="A103" s="15">
        <v>1405</v>
      </c>
      <c r="B103" s="15" t="s">
        <v>170</v>
      </c>
      <c r="C103" s="24">
        <f>+SUM(C104:C202)</f>
        <v>0</v>
      </c>
      <c r="D103" s="24">
        <f t="shared" ref="D103:F103" si="12">+SUM(D104:D202)</f>
        <v>156244797</v>
      </c>
      <c r="E103" s="24">
        <f t="shared" si="12"/>
        <v>1318487</v>
      </c>
      <c r="F103" s="24">
        <f t="shared" si="12"/>
        <v>154926310</v>
      </c>
    </row>
    <row r="104" spans="1:6" ht="15.75" thickBot="1" x14ac:dyDescent="0.3">
      <c r="A104" s="5">
        <v>140505</v>
      </c>
      <c r="B104" s="5" t="s">
        <v>78</v>
      </c>
      <c r="C104" s="6">
        <v>23815</v>
      </c>
      <c r="D104" s="6">
        <v>0</v>
      </c>
      <c r="E104" s="6"/>
      <c r="F104" s="6">
        <f>+C104+D104-E104</f>
        <v>23815</v>
      </c>
    </row>
    <row r="105" spans="1:6" ht="15.75" thickBot="1" x14ac:dyDescent="0.3">
      <c r="A105" s="5">
        <v>140505</v>
      </c>
      <c r="B105" s="5" t="s">
        <v>79</v>
      </c>
      <c r="C105" s="6">
        <v>4655</v>
      </c>
      <c r="D105" s="6">
        <v>0</v>
      </c>
      <c r="E105" s="6"/>
      <c r="F105" s="6">
        <f t="shared" si="11"/>
        <v>4655</v>
      </c>
    </row>
    <row r="106" spans="1:6" ht="15.75" thickBot="1" x14ac:dyDescent="0.3">
      <c r="A106" s="5">
        <v>140505</v>
      </c>
      <c r="B106" s="5" t="s">
        <v>80</v>
      </c>
      <c r="C106" s="6">
        <v>434045</v>
      </c>
      <c r="D106" s="6">
        <v>0</v>
      </c>
      <c r="E106" s="6"/>
      <c r="F106" s="6">
        <f t="shared" si="11"/>
        <v>434045</v>
      </c>
    </row>
    <row r="107" spans="1:6" ht="15.75" thickBot="1" x14ac:dyDescent="0.3">
      <c r="A107" s="5">
        <v>140505</v>
      </c>
      <c r="B107" s="5" t="s">
        <v>81</v>
      </c>
      <c r="C107" s="6">
        <v>25210</v>
      </c>
      <c r="D107" s="6">
        <v>0</v>
      </c>
      <c r="E107" s="6"/>
      <c r="F107" s="6">
        <f t="shared" si="11"/>
        <v>25210</v>
      </c>
    </row>
    <row r="108" spans="1:6" ht="15.75" thickBot="1" x14ac:dyDescent="0.3">
      <c r="A108" s="5">
        <v>140505</v>
      </c>
      <c r="B108" s="5" t="s">
        <v>82</v>
      </c>
      <c r="C108" s="6">
        <v>177159471</v>
      </c>
      <c r="D108" s="6">
        <v>26037817</v>
      </c>
      <c r="E108" s="6"/>
      <c r="F108" s="6">
        <f t="shared" si="11"/>
        <v>203197288</v>
      </c>
    </row>
    <row r="109" spans="1:6" ht="15.75" thickBot="1" x14ac:dyDescent="0.3">
      <c r="A109" s="5">
        <v>140505</v>
      </c>
      <c r="B109" s="5" t="s">
        <v>83</v>
      </c>
      <c r="C109" s="6">
        <v>104202</v>
      </c>
      <c r="D109" s="6">
        <v>0</v>
      </c>
      <c r="E109" s="6"/>
      <c r="F109" s="6">
        <f t="shared" si="11"/>
        <v>104202</v>
      </c>
    </row>
    <row r="110" spans="1:6" ht="15.75" thickBot="1" x14ac:dyDescent="0.3">
      <c r="A110" s="5">
        <v>140505</v>
      </c>
      <c r="B110" s="5" t="s">
        <v>84</v>
      </c>
      <c r="C110" s="6">
        <v>1393907</v>
      </c>
      <c r="D110" s="6">
        <v>0</v>
      </c>
      <c r="E110" s="6"/>
      <c r="F110" s="6">
        <f t="shared" si="11"/>
        <v>1393907</v>
      </c>
    </row>
    <row r="111" spans="1:6" ht="15.75" thickBot="1" x14ac:dyDescent="0.3">
      <c r="A111" s="5">
        <v>140505</v>
      </c>
      <c r="B111" s="5" t="s">
        <v>85</v>
      </c>
      <c r="C111" s="6">
        <v>2271288</v>
      </c>
      <c r="D111" s="6">
        <v>0</v>
      </c>
      <c r="E111" s="6"/>
      <c r="F111" s="6">
        <f t="shared" si="11"/>
        <v>2271288</v>
      </c>
    </row>
    <row r="112" spans="1:6" ht="15.75" thickBot="1" x14ac:dyDescent="0.3">
      <c r="A112" s="5">
        <v>140505</v>
      </c>
      <c r="B112" s="5" t="s">
        <v>86</v>
      </c>
      <c r="C112" s="6">
        <v>437523</v>
      </c>
      <c r="D112" s="6">
        <v>0</v>
      </c>
      <c r="E112" s="6"/>
      <c r="F112" s="6">
        <f t="shared" si="11"/>
        <v>437523</v>
      </c>
    </row>
    <row r="113" spans="1:6" ht="15.75" thickBot="1" x14ac:dyDescent="0.3">
      <c r="A113" s="5">
        <v>140505</v>
      </c>
      <c r="B113" s="5" t="s">
        <v>87</v>
      </c>
      <c r="C113" s="6">
        <v>293277</v>
      </c>
      <c r="D113" s="6">
        <v>0</v>
      </c>
      <c r="E113" s="6"/>
      <c r="F113" s="6">
        <f t="shared" si="11"/>
        <v>293277</v>
      </c>
    </row>
    <row r="114" spans="1:6" ht="15.75" thickBot="1" x14ac:dyDescent="0.3">
      <c r="A114" s="5">
        <v>140505</v>
      </c>
      <c r="B114" s="5" t="s">
        <v>88</v>
      </c>
      <c r="C114" s="6">
        <v>7733197</v>
      </c>
      <c r="D114" s="6">
        <v>255966</v>
      </c>
      <c r="E114" s="6"/>
      <c r="F114" s="6">
        <f>+C114+D114-E114</f>
        <v>7989163</v>
      </c>
    </row>
    <row r="115" spans="1:6" ht="15.75" thickBot="1" x14ac:dyDescent="0.3">
      <c r="A115" s="5">
        <v>140505</v>
      </c>
      <c r="B115" s="5" t="s">
        <v>89</v>
      </c>
      <c r="C115" s="6">
        <v>146550</v>
      </c>
      <c r="D115" s="6">
        <v>0</v>
      </c>
      <c r="E115" s="6"/>
      <c r="F115" s="6">
        <f t="shared" si="11"/>
        <v>146550</v>
      </c>
    </row>
    <row r="116" spans="1:6" ht="15.75" thickBot="1" x14ac:dyDescent="0.3">
      <c r="A116" s="5">
        <v>140505</v>
      </c>
      <c r="B116" s="5" t="s">
        <v>90</v>
      </c>
      <c r="C116" s="6">
        <v>964442</v>
      </c>
      <c r="D116" s="6">
        <v>0</v>
      </c>
      <c r="E116" s="6"/>
      <c r="F116" s="6">
        <f t="shared" si="11"/>
        <v>964442</v>
      </c>
    </row>
    <row r="117" spans="1:6" ht="15.75" thickBot="1" x14ac:dyDescent="0.3">
      <c r="A117" s="5">
        <v>140505</v>
      </c>
      <c r="B117" s="5" t="s">
        <v>91</v>
      </c>
      <c r="C117" s="6">
        <v>600000</v>
      </c>
      <c r="D117" s="6">
        <v>0</v>
      </c>
      <c r="E117" s="6"/>
      <c r="F117" s="6">
        <f t="shared" si="11"/>
        <v>600000</v>
      </c>
    </row>
    <row r="118" spans="1:6" ht="15.75" thickBot="1" x14ac:dyDescent="0.3">
      <c r="A118" s="5">
        <v>140505</v>
      </c>
      <c r="B118" s="5" t="s">
        <v>92</v>
      </c>
      <c r="C118" s="6">
        <v>144977</v>
      </c>
      <c r="D118" s="6">
        <v>0</v>
      </c>
      <c r="E118" s="6"/>
      <c r="F118" s="6">
        <f t="shared" si="11"/>
        <v>144977</v>
      </c>
    </row>
    <row r="119" spans="1:6" ht="15.75" thickBot="1" x14ac:dyDescent="0.3">
      <c r="A119" s="5">
        <v>140505</v>
      </c>
      <c r="B119" s="5" t="s">
        <v>93</v>
      </c>
      <c r="C119" s="6">
        <v>46551</v>
      </c>
      <c r="D119" s="6">
        <v>0</v>
      </c>
      <c r="E119" s="6"/>
      <c r="F119" s="6">
        <f t="shared" si="11"/>
        <v>46551</v>
      </c>
    </row>
    <row r="120" spans="1:6" ht="15.75" thickBot="1" x14ac:dyDescent="0.3">
      <c r="A120" s="5">
        <v>140505</v>
      </c>
      <c r="B120" s="5" t="s">
        <v>94</v>
      </c>
      <c r="C120" s="6">
        <v>150000000</v>
      </c>
      <c r="D120" s="6">
        <v>0</v>
      </c>
      <c r="E120" s="6"/>
      <c r="F120" s="6">
        <f t="shared" si="11"/>
        <v>150000000</v>
      </c>
    </row>
    <row r="121" spans="1:6" ht="15.75" thickBot="1" x14ac:dyDescent="0.3">
      <c r="A121" s="5">
        <v>140505</v>
      </c>
      <c r="B121" s="5" t="s">
        <v>95</v>
      </c>
      <c r="C121" s="6">
        <v>117000</v>
      </c>
      <c r="D121" s="6">
        <v>0</v>
      </c>
      <c r="E121" s="6"/>
      <c r="F121" s="6">
        <f t="shared" si="11"/>
        <v>117000</v>
      </c>
    </row>
    <row r="122" spans="1:6" ht="15.75" thickBot="1" x14ac:dyDescent="0.3">
      <c r="A122" s="5">
        <v>140505</v>
      </c>
      <c r="B122" s="5" t="s">
        <v>96</v>
      </c>
      <c r="C122" s="6">
        <v>9504470</v>
      </c>
      <c r="D122" s="6">
        <v>0</v>
      </c>
      <c r="E122" s="6"/>
      <c r="F122" s="6">
        <f t="shared" si="11"/>
        <v>9504470</v>
      </c>
    </row>
    <row r="123" spans="1:6" ht="15.75" thickBot="1" x14ac:dyDescent="0.3">
      <c r="A123" s="5">
        <v>140505</v>
      </c>
      <c r="B123" s="5" t="s">
        <v>97</v>
      </c>
      <c r="C123" s="6">
        <v>33300</v>
      </c>
      <c r="D123" s="6">
        <v>0</v>
      </c>
      <c r="E123" s="6"/>
      <c r="F123" s="6">
        <f t="shared" si="11"/>
        <v>33300</v>
      </c>
    </row>
    <row r="124" spans="1:6" ht="15.75" thickBot="1" x14ac:dyDescent="0.3">
      <c r="A124" s="5">
        <v>140505</v>
      </c>
      <c r="B124" s="5" t="s">
        <v>98</v>
      </c>
      <c r="C124" s="6">
        <v>13665117</v>
      </c>
      <c r="D124" s="6">
        <v>0</v>
      </c>
      <c r="E124" s="6"/>
      <c r="F124" s="6">
        <f t="shared" si="11"/>
        <v>13665117</v>
      </c>
    </row>
    <row r="125" spans="1:6" ht="15.75" thickBot="1" x14ac:dyDescent="0.3">
      <c r="A125" s="5">
        <v>140505</v>
      </c>
      <c r="B125" s="5" t="s">
        <v>99</v>
      </c>
      <c r="C125" s="6">
        <v>10086</v>
      </c>
      <c r="D125" s="6">
        <v>0</v>
      </c>
      <c r="E125" s="6"/>
      <c r="F125" s="6">
        <f t="shared" si="11"/>
        <v>10086</v>
      </c>
    </row>
    <row r="126" spans="1:6" ht="15.75" thickBot="1" x14ac:dyDescent="0.3">
      <c r="A126" s="5">
        <v>140505</v>
      </c>
      <c r="B126" s="5" t="s">
        <v>100</v>
      </c>
      <c r="C126" s="6">
        <v>-9485101.5099999998</v>
      </c>
      <c r="D126" s="6">
        <v>0</v>
      </c>
      <c r="E126" s="6"/>
      <c r="F126" s="6">
        <f t="shared" si="11"/>
        <v>-9485101.5099999998</v>
      </c>
    </row>
    <row r="127" spans="1:6" ht="15.75" thickBot="1" x14ac:dyDescent="0.3">
      <c r="A127" s="5">
        <v>140505</v>
      </c>
      <c r="B127" s="5" t="s">
        <v>101</v>
      </c>
      <c r="C127" s="6">
        <v>356739</v>
      </c>
      <c r="D127" s="6">
        <v>0</v>
      </c>
      <c r="E127" s="6"/>
      <c r="F127" s="6">
        <f t="shared" si="11"/>
        <v>356739</v>
      </c>
    </row>
    <row r="128" spans="1:6" ht="15.75" thickBot="1" x14ac:dyDescent="0.3">
      <c r="A128" s="5">
        <v>140505</v>
      </c>
      <c r="B128" s="5" t="s">
        <v>76</v>
      </c>
      <c r="C128" s="6">
        <v>-1182905625.49</v>
      </c>
      <c r="D128" s="6">
        <v>0</v>
      </c>
      <c r="E128" s="6"/>
      <c r="F128" s="6">
        <f t="shared" si="11"/>
        <v>-1182905625.49</v>
      </c>
    </row>
    <row r="129" spans="1:6" ht="15.75" thickBot="1" x14ac:dyDescent="0.3">
      <c r="A129" s="5">
        <v>140505</v>
      </c>
      <c r="B129" s="5" t="s">
        <v>102</v>
      </c>
      <c r="C129" s="6">
        <v>13549000</v>
      </c>
      <c r="D129" s="6">
        <v>11010000</v>
      </c>
      <c r="E129" s="6"/>
      <c r="F129" s="6">
        <f t="shared" si="11"/>
        <v>24559000</v>
      </c>
    </row>
    <row r="130" spans="1:6" ht="15.75" thickBot="1" x14ac:dyDescent="0.3">
      <c r="A130" s="5">
        <v>140505</v>
      </c>
      <c r="B130" s="5" t="s">
        <v>103</v>
      </c>
      <c r="C130" s="6">
        <v>294877</v>
      </c>
      <c r="D130" s="6">
        <v>0</v>
      </c>
      <c r="E130" s="6"/>
      <c r="F130" s="6">
        <f t="shared" si="11"/>
        <v>294877</v>
      </c>
    </row>
    <row r="131" spans="1:6" ht="15.75" thickBot="1" x14ac:dyDescent="0.3">
      <c r="A131" s="5">
        <v>140505</v>
      </c>
      <c r="B131" s="5" t="s">
        <v>104</v>
      </c>
      <c r="C131" s="6">
        <v>29095</v>
      </c>
      <c r="D131" s="6">
        <v>0</v>
      </c>
      <c r="E131" s="6"/>
      <c r="F131" s="6">
        <f t="shared" si="11"/>
        <v>29095</v>
      </c>
    </row>
    <row r="132" spans="1:6" ht="15.75" thickBot="1" x14ac:dyDescent="0.3">
      <c r="A132" s="5">
        <v>140505</v>
      </c>
      <c r="B132" s="5" t="s">
        <v>105</v>
      </c>
      <c r="C132" s="6">
        <v>799000</v>
      </c>
      <c r="D132" s="6">
        <v>0</v>
      </c>
      <c r="E132" s="6"/>
      <c r="F132" s="6">
        <f t="shared" si="11"/>
        <v>799000</v>
      </c>
    </row>
    <row r="133" spans="1:6" ht="15.75" thickBot="1" x14ac:dyDescent="0.3">
      <c r="A133" s="5">
        <v>140505</v>
      </c>
      <c r="B133" s="5" t="s">
        <v>106</v>
      </c>
      <c r="C133" s="6">
        <v>740739</v>
      </c>
      <c r="D133" s="6">
        <v>0</v>
      </c>
      <c r="E133" s="6"/>
      <c r="F133" s="6">
        <f t="shared" si="11"/>
        <v>740739</v>
      </c>
    </row>
    <row r="134" spans="1:6" ht="15.75" thickBot="1" x14ac:dyDescent="0.3">
      <c r="A134" s="5">
        <v>140505</v>
      </c>
      <c r="B134" s="5" t="s">
        <v>107</v>
      </c>
      <c r="C134" s="6">
        <v>1562002</v>
      </c>
      <c r="D134" s="6">
        <v>0</v>
      </c>
      <c r="E134" s="6"/>
      <c r="F134" s="6">
        <f t="shared" si="11"/>
        <v>1562002</v>
      </c>
    </row>
    <row r="135" spans="1:6" ht="15.75" thickBot="1" x14ac:dyDescent="0.3">
      <c r="A135" s="5">
        <v>140505</v>
      </c>
      <c r="B135" s="5" t="s">
        <v>108</v>
      </c>
      <c r="C135" s="6">
        <v>8907</v>
      </c>
      <c r="D135" s="6">
        <v>0</v>
      </c>
      <c r="E135" s="6"/>
      <c r="F135" s="6">
        <f t="shared" si="11"/>
        <v>8907</v>
      </c>
    </row>
    <row r="136" spans="1:6" ht="15.75" thickBot="1" x14ac:dyDescent="0.3">
      <c r="A136" s="5">
        <v>140505</v>
      </c>
      <c r="B136" s="5" t="s">
        <v>109</v>
      </c>
      <c r="C136" s="6">
        <v>22758</v>
      </c>
      <c r="D136" s="6">
        <v>0</v>
      </c>
      <c r="E136" s="6"/>
      <c r="F136" s="6">
        <f t="shared" si="11"/>
        <v>22758</v>
      </c>
    </row>
    <row r="137" spans="1:6" ht="15.75" thickBot="1" x14ac:dyDescent="0.3">
      <c r="A137" s="5">
        <v>140505</v>
      </c>
      <c r="B137" s="5" t="s">
        <v>110</v>
      </c>
      <c r="C137" s="6">
        <v>920724</v>
      </c>
      <c r="D137" s="6">
        <v>0</v>
      </c>
      <c r="E137" s="6"/>
      <c r="F137" s="6">
        <f t="shared" si="11"/>
        <v>920724</v>
      </c>
    </row>
    <row r="138" spans="1:6" ht="15.75" thickBot="1" x14ac:dyDescent="0.3">
      <c r="A138" s="5">
        <v>140505</v>
      </c>
      <c r="B138" s="5" t="s">
        <v>111</v>
      </c>
      <c r="C138" s="6">
        <v>215793</v>
      </c>
      <c r="D138" s="6">
        <v>0</v>
      </c>
      <c r="E138" s="6"/>
      <c r="F138" s="6">
        <f t="shared" si="11"/>
        <v>215793</v>
      </c>
    </row>
    <row r="139" spans="1:6" ht="15.75" thickBot="1" x14ac:dyDescent="0.3">
      <c r="A139" s="5">
        <v>140505</v>
      </c>
      <c r="B139" s="5" t="s">
        <v>112</v>
      </c>
      <c r="C139" s="6">
        <v>2150100</v>
      </c>
      <c r="D139" s="6">
        <v>0</v>
      </c>
      <c r="E139" s="6"/>
      <c r="F139" s="6">
        <f t="shared" si="11"/>
        <v>2150100</v>
      </c>
    </row>
    <row r="140" spans="1:6" ht="15.75" thickBot="1" x14ac:dyDescent="0.3">
      <c r="A140" s="5">
        <v>140505</v>
      </c>
      <c r="B140" s="5" t="s">
        <v>113</v>
      </c>
      <c r="C140" s="6">
        <v>70796635</v>
      </c>
      <c r="D140" s="6">
        <v>0</v>
      </c>
      <c r="E140" s="6"/>
      <c r="F140" s="6">
        <f t="shared" si="11"/>
        <v>70796635</v>
      </c>
    </row>
    <row r="141" spans="1:6" ht="15.75" thickBot="1" x14ac:dyDescent="0.3">
      <c r="A141" s="5">
        <v>140505</v>
      </c>
      <c r="B141" s="5" t="s">
        <v>114</v>
      </c>
      <c r="C141" s="6">
        <v>604328</v>
      </c>
      <c r="D141" s="6">
        <v>0</v>
      </c>
      <c r="E141" s="6"/>
      <c r="F141" s="6">
        <f t="shared" si="11"/>
        <v>604328</v>
      </c>
    </row>
    <row r="142" spans="1:6" ht="15.75" thickBot="1" x14ac:dyDescent="0.3">
      <c r="A142" s="5">
        <v>140505</v>
      </c>
      <c r="B142" s="5" t="s">
        <v>115</v>
      </c>
      <c r="C142" s="6">
        <v>22500</v>
      </c>
      <c r="D142" s="6">
        <v>0</v>
      </c>
      <c r="E142" s="6"/>
      <c r="F142" s="6">
        <f t="shared" si="11"/>
        <v>22500</v>
      </c>
    </row>
    <row r="143" spans="1:6" ht="15.75" thickBot="1" x14ac:dyDescent="0.3">
      <c r="A143" s="5">
        <v>140505</v>
      </c>
      <c r="B143" s="5" t="s">
        <v>116</v>
      </c>
      <c r="C143" s="6">
        <v>59256</v>
      </c>
      <c r="D143" s="6">
        <v>0</v>
      </c>
      <c r="E143" s="6"/>
      <c r="F143" s="6">
        <f t="shared" si="11"/>
        <v>59256</v>
      </c>
    </row>
    <row r="144" spans="1:6" ht="15.75" thickBot="1" x14ac:dyDescent="0.3">
      <c r="A144" s="5">
        <v>140505</v>
      </c>
      <c r="B144" s="5" t="s">
        <v>117</v>
      </c>
      <c r="C144" s="6">
        <v>24454</v>
      </c>
      <c r="D144" s="6">
        <v>0</v>
      </c>
      <c r="E144" s="6"/>
      <c r="F144" s="6">
        <f t="shared" si="11"/>
        <v>24454</v>
      </c>
    </row>
    <row r="145" spans="1:6" ht="15.75" thickBot="1" x14ac:dyDescent="0.3">
      <c r="A145" s="5">
        <v>140505</v>
      </c>
      <c r="B145" s="5" t="s">
        <v>118</v>
      </c>
      <c r="C145" s="6">
        <v>315000</v>
      </c>
      <c r="D145" s="6">
        <v>0</v>
      </c>
      <c r="E145" s="6"/>
      <c r="F145" s="6">
        <f t="shared" si="11"/>
        <v>315000</v>
      </c>
    </row>
    <row r="146" spans="1:6" ht="15.75" thickBot="1" x14ac:dyDescent="0.3">
      <c r="A146" s="5">
        <v>140505</v>
      </c>
      <c r="B146" s="5" t="s">
        <v>119</v>
      </c>
      <c r="C146" s="6">
        <v>33508</v>
      </c>
      <c r="D146" s="6">
        <v>0</v>
      </c>
      <c r="E146" s="6"/>
      <c r="F146" s="6">
        <f t="shared" si="11"/>
        <v>33508</v>
      </c>
    </row>
    <row r="147" spans="1:6" ht="15.75" thickBot="1" x14ac:dyDescent="0.3">
      <c r="A147" s="5">
        <v>140505</v>
      </c>
      <c r="B147" s="5" t="s">
        <v>120</v>
      </c>
      <c r="C147" s="6">
        <v>101828056</v>
      </c>
      <c r="D147" s="6">
        <v>88784784</v>
      </c>
      <c r="E147" s="6"/>
      <c r="F147" s="6">
        <f t="shared" si="11"/>
        <v>190612840</v>
      </c>
    </row>
    <row r="148" spans="1:6" ht="15.75" thickBot="1" x14ac:dyDescent="0.3">
      <c r="A148" s="5">
        <v>140505</v>
      </c>
      <c r="B148" s="5" t="s">
        <v>121</v>
      </c>
      <c r="C148" s="6">
        <v>570993</v>
      </c>
      <c r="D148" s="6">
        <v>0</v>
      </c>
      <c r="E148" s="6"/>
      <c r="F148" s="6">
        <f t="shared" si="11"/>
        <v>570993</v>
      </c>
    </row>
    <row r="149" spans="1:6" ht="15.75" thickBot="1" x14ac:dyDescent="0.3">
      <c r="A149" s="5">
        <v>140505</v>
      </c>
      <c r="B149" s="5" t="s">
        <v>122</v>
      </c>
      <c r="C149" s="6">
        <v>363621</v>
      </c>
      <c r="D149" s="6">
        <v>0</v>
      </c>
      <c r="E149" s="6"/>
      <c r="F149" s="6">
        <f t="shared" si="11"/>
        <v>363621</v>
      </c>
    </row>
    <row r="150" spans="1:6" ht="15.75" thickBot="1" x14ac:dyDescent="0.3">
      <c r="A150" s="5">
        <v>140505</v>
      </c>
      <c r="B150" s="5" t="s">
        <v>123</v>
      </c>
      <c r="C150" s="6">
        <v>36000</v>
      </c>
      <c r="D150" s="6">
        <v>0</v>
      </c>
      <c r="E150" s="6"/>
      <c r="F150" s="6">
        <f t="shared" si="11"/>
        <v>36000</v>
      </c>
    </row>
    <row r="151" spans="1:6" ht="15.75" thickBot="1" x14ac:dyDescent="0.3">
      <c r="A151" s="5">
        <v>140505</v>
      </c>
      <c r="B151" s="5" t="s">
        <v>124</v>
      </c>
      <c r="C151" s="6">
        <v>14224</v>
      </c>
      <c r="D151" s="6">
        <v>0</v>
      </c>
      <c r="E151" s="6"/>
      <c r="F151" s="6">
        <f t="shared" si="11"/>
        <v>14224</v>
      </c>
    </row>
    <row r="152" spans="1:6" ht="15.75" thickBot="1" x14ac:dyDescent="0.3">
      <c r="A152" s="5">
        <v>140505</v>
      </c>
      <c r="B152" s="5" t="s">
        <v>125</v>
      </c>
      <c r="C152" s="6">
        <v>52798</v>
      </c>
      <c r="D152" s="6">
        <v>0</v>
      </c>
      <c r="E152" s="6"/>
      <c r="F152" s="6">
        <f t="shared" si="11"/>
        <v>52798</v>
      </c>
    </row>
    <row r="153" spans="1:6" ht="15.75" thickBot="1" x14ac:dyDescent="0.3">
      <c r="A153" s="5">
        <v>140505</v>
      </c>
      <c r="B153" s="5" t="s">
        <v>126</v>
      </c>
      <c r="C153" s="6">
        <v>44552</v>
      </c>
      <c r="D153" s="6">
        <v>0</v>
      </c>
      <c r="E153" s="6"/>
      <c r="F153" s="6">
        <f t="shared" si="11"/>
        <v>44552</v>
      </c>
    </row>
    <row r="154" spans="1:6" ht="15.75" thickBot="1" x14ac:dyDescent="0.3">
      <c r="A154" s="5">
        <v>140505</v>
      </c>
      <c r="B154" s="5" t="s">
        <v>127</v>
      </c>
      <c r="C154" s="6">
        <v>69395</v>
      </c>
      <c r="D154" s="6">
        <v>0</v>
      </c>
      <c r="E154" s="6"/>
      <c r="F154" s="6">
        <f t="shared" si="11"/>
        <v>69395</v>
      </c>
    </row>
    <row r="155" spans="1:6" ht="15.75" thickBot="1" x14ac:dyDescent="0.3">
      <c r="A155" s="5">
        <v>140505</v>
      </c>
      <c r="B155" s="5" t="s">
        <v>128</v>
      </c>
      <c r="C155" s="6">
        <v>14300</v>
      </c>
      <c r="D155" s="6">
        <v>0</v>
      </c>
      <c r="E155" s="6"/>
      <c r="F155" s="6">
        <f t="shared" si="11"/>
        <v>14300</v>
      </c>
    </row>
    <row r="156" spans="1:6" ht="15.75" thickBot="1" x14ac:dyDescent="0.3">
      <c r="A156" s="5">
        <v>140505</v>
      </c>
      <c r="B156" s="5" t="s">
        <v>129</v>
      </c>
      <c r="C156" s="6">
        <v>233614</v>
      </c>
      <c r="D156" s="6">
        <v>0</v>
      </c>
      <c r="E156" s="6"/>
      <c r="F156" s="6">
        <f t="shared" si="11"/>
        <v>233614</v>
      </c>
    </row>
    <row r="157" spans="1:6" ht="15.75" thickBot="1" x14ac:dyDescent="0.3">
      <c r="A157" s="5">
        <v>140505</v>
      </c>
      <c r="B157" s="5" t="s">
        <v>130</v>
      </c>
      <c r="C157" s="6">
        <v>529413</v>
      </c>
      <c r="D157" s="6">
        <v>0</v>
      </c>
      <c r="E157" s="6"/>
      <c r="F157" s="6">
        <f t="shared" si="11"/>
        <v>529413</v>
      </c>
    </row>
    <row r="158" spans="1:6" ht="15.75" thickBot="1" x14ac:dyDescent="0.3">
      <c r="A158" s="5">
        <v>140505</v>
      </c>
      <c r="B158" s="5" t="s">
        <v>131</v>
      </c>
      <c r="C158" s="6">
        <v>317759</v>
      </c>
      <c r="D158" s="6">
        <v>0</v>
      </c>
      <c r="E158" s="6"/>
      <c r="F158" s="6">
        <f t="shared" si="11"/>
        <v>317759</v>
      </c>
    </row>
    <row r="159" spans="1:6" ht="15.75" thickBot="1" x14ac:dyDescent="0.3">
      <c r="A159" s="5">
        <v>140505</v>
      </c>
      <c r="B159" s="5" t="s">
        <v>132</v>
      </c>
      <c r="C159" s="6">
        <v>60602</v>
      </c>
      <c r="D159" s="6">
        <v>0</v>
      </c>
      <c r="E159" s="6"/>
      <c r="F159" s="6">
        <f t="shared" si="11"/>
        <v>60602</v>
      </c>
    </row>
    <row r="160" spans="1:6" ht="15.75" thickBot="1" x14ac:dyDescent="0.3">
      <c r="A160" s="5">
        <v>140505</v>
      </c>
      <c r="B160" s="5" t="s">
        <v>133</v>
      </c>
      <c r="C160" s="6">
        <v>40900</v>
      </c>
      <c r="D160" s="6">
        <v>0</v>
      </c>
      <c r="E160" s="6"/>
      <c r="F160" s="6">
        <f t="shared" si="11"/>
        <v>40900</v>
      </c>
    </row>
    <row r="161" spans="1:6" ht="15.75" thickBot="1" x14ac:dyDescent="0.3">
      <c r="A161" s="5">
        <v>140505</v>
      </c>
      <c r="B161" s="5" t="s">
        <v>134</v>
      </c>
      <c r="C161" s="6">
        <v>20690</v>
      </c>
      <c r="D161" s="6">
        <v>0</v>
      </c>
      <c r="E161" s="6"/>
      <c r="F161" s="6">
        <f t="shared" si="11"/>
        <v>20690</v>
      </c>
    </row>
    <row r="162" spans="1:6" ht="15.75" thickBot="1" x14ac:dyDescent="0.3">
      <c r="A162" s="5">
        <v>140505</v>
      </c>
      <c r="B162" s="5" t="s">
        <v>135</v>
      </c>
      <c r="C162" s="6">
        <v>147839</v>
      </c>
      <c r="D162" s="6">
        <v>0</v>
      </c>
      <c r="E162" s="6"/>
      <c r="F162" s="6">
        <f t="shared" si="11"/>
        <v>147839</v>
      </c>
    </row>
    <row r="163" spans="1:6" ht="15.75" thickBot="1" x14ac:dyDescent="0.3">
      <c r="A163" s="5">
        <v>140505</v>
      </c>
      <c r="B163" s="5" t="s">
        <v>136</v>
      </c>
      <c r="C163" s="6">
        <v>58189</v>
      </c>
      <c r="D163" s="6">
        <v>0</v>
      </c>
      <c r="E163" s="6"/>
      <c r="F163" s="6">
        <f t="shared" si="11"/>
        <v>58189</v>
      </c>
    </row>
    <row r="164" spans="1:6" ht="15.75" thickBot="1" x14ac:dyDescent="0.3">
      <c r="A164" s="5">
        <v>140505</v>
      </c>
      <c r="B164" s="5" t="s">
        <v>137</v>
      </c>
      <c r="C164" s="6">
        <v>52101</v>
      </c>
      <c r="D164" s="6">
        <v>0</v>
      </c>
      <c r="E164" s="6"/>
      <c r="F164" s="6">
        <f t="shared" si="11"/>
        <v>52101</v>
      </c>
    </row>
    <row r="165" spans="1:6" ht="15.75" thickBot="1" x14ac:dyDescent="0.3">
      <c r="A165" s="5">
        <v>140505</v>
      </c>
      <c r="B165" s="5" t="s">
        <v>138</v>
      </c>
      <c r="C165" s="6">
        <v>30000</v>
      </c>
      <c r="D165" s="6">
        <v>0</v>
      </c>
      <c r="E165" s="6"/>
      <c r="F165" s="6">
        <f t="shared" si="11"/>
        <v>30000</v>
      </c>
    </row>
    <row r="166" spans="1:6" ht="15.75" thickBot="1" x14ac:dyDescent="0.3">
      <c r="A166" s="5">
        <v>140505</v>
      </c>
      <c r="B166" s="5" t="s">
        <v>139</v>
      </c>
      <c r="C166" s="6">
        <v>3361</v>
      </c>
      <c r="D166" s="6">
        <v>0</v>
      </c>
      <c r="E166" s="6"/>
      <c r="F166" s="6">
        <f t="shared" ref="F166:F202" si="13">+C166+D166-E166</f>
        <v>3361</v>
      </c>
    </row>
    <row r="167" spans="1:6" ht="15.75" thickBot="1" x14ac:dyDescent="0.3">
      <c r="A167" s="5">
        <v>140505</v>
      </c>
      <c r="B167" s="5" t="s">
        <v>140</v>
      </c>
      <c r="C167" s="6">
        <v>46000</v>
      </c>
      <c r="D167" s="6">
        <v>0</v>
      </c>
      <c r="E167" s="6"/>
      <c r="F167" s="6">
        <f t="shared" si="13"/>
        <v>46000</v>
      </c>
    </row>
    <row r="168" spans="1:6" ht="15.75" thickBot="1" x14ac:dyDescent="0.3">
      <c r="A168" s="5">
        <v>140505</v>
      </c>
      <c r="B168" s="5" t="s">
        <v>141</v>
      </c>
      <c r="C168" s="6">
        <v>206877712</v>
      </c>
      <c r="D168" s="6">
        <v>1230623</v>
      </c>
      <c r="E168" s="6"/>
      <c r="F168" s="6">
        <f t="shared" si="13"/>
        <v>208108335</v>
      </c>
    </row>
    <row r="169" spans="1:6" ht="15.75" thickBot="1" x14ac:dyDescent="0.3">
      <c r="A169" s="5">
        <v>140505</v>
      </c>
      <c r="B169" s="5" t="s">
        <v>142</v>
      </c>
      <c r="C169" s="6">
        <v>26400</v>
      </c>
      <c r="D169" s="6">
        <v>0</v>
      </c>
      <c r="E169" s="6"/>
      <c r="F169" s="6">
        <f t="shared" si="13"/>
        <v>26400</v>
      </c>
    </row>
    <row r="170" spans="1:6" ht="15.75" thickBot="1" x14ac:dyDescent="0.3">
      <c r="A170" s="5">
        <v>140505</v>
      </c>
      <c r="B170" s="5" t="s">
        <v>143</v>
      </c>
      <c r="C170" s="6">
        <v>32900</v>
      </c>
      <c r="D170" s="6">
        <v>0</v>
      </c>
      <c r="E170" s="6"/>
      <c r="F170" s="6">
        <f t="shared" si="13"/>
        <v>32900</v>
      </c>
    </row>
    <row r="171" spans="1:6" ht="15.75" thickBot="1" x14ac:dyDescent="0.3">
      <c r="A171" s="5">
        <v>140505</v>
      </c>
      <c r="B171" s="5" t="s">
        <v>144</v>
      </c>
      <c r="C171" s="6">
        <v>86981</v>
      </c>
      <c r="D171" s="6">
        <v>0</v>
      </c>
      <c r="E171" s="6"/>
      <c r="F171" s="6">
        <f t="shared" si="13"/>
        <v>86981</v>
      </c>
    </row>
    <row r="172" spans="1:6" ht="15.75" thickBot="1" x14ac:dyDescent="0.3">
      <c r="A172" s="5">
        <v>140505</v>
      </c>
      <c r="B172" s="5" t="s">
        <v>145</v>
      </c>
      <c r="C172" s="6">
        <v>10900</v>
      </c>
      <c r="D172" s="6">
        <v>0</v>
      </c>
      <c r="E172" s="6"/>
      <c r="F172" s="6">
        <f t="shared" si="13"/>
        <v>10900</v>
      </c>
    </row>
    <row r="173" spans="1:6" ht="15.75" thickBot="1" x14ac:dyDescent="0.3">
      <c r="A173" s="5">
        <v>140505</v>
      </c>
      <c r="B173" s="5" t="s">
        <v>146</v>
      </c>
      <c r="C173" s="6">
        <v>2743800</v>
      </c>
      <c r="D173" s="6">
        <v>0</v>
      </c>
      <c r="E173" s="6"/>
      <c r="F173" s="6">
        <f t="shared" si="13"/>
        <v>2743800</v>
      </c>
    </row>
    <row r="174" spans="1:6" ht="15.75" thickBot="1" x14ac:dyDescent="0.3">
      <c r="A174" s="5">
        <v>140505</v>
      </c>
      <c r="B174" s="5" t="s">
        <v>147</v>
      </c>
      <c r="C174" s="6">
        <v>524513</v>
      </c>
      <c r="D174" s="6">
        <v>0</v>
      </c>
      <c r="E174" s="6"/>
      <c r="F174" s="6">
        <f t="shared" si="13"/>
        <v>524513</v>
      </c>
    </row>
    <row r="175" spans="1:6" ht="15.75" thickBot="1" x14ac:dyDescent="0.3">
      <c r="A175" s="5">
        <v>140505</v>
      </c>
      <c r="B175" s="5" t="s">
        <v>148</v>
      </c>
      <c r="C175" s="6">
        <v>93950</v>
      </c>
      <c r="D175" s="6">
        <v>0</v>
      </c>
      <c r="E175" s="6"/>
      <c r="F175" s="6">
        <f t="shared" si="13"/>
        <v>93950</v>
      </c>
    </row>
    <row r="176" spans="1:6" ht="15.75" thickBot="1" x14ac:dyDescent="0.3">
      <c r="A176" s="5">
        <v>140505</v>
      </c>
      <c r="B176" s="5" t="s">
        <v>149</v>
      </c>
      <c r="C176" s="6">
        <v>275000000</v>
      </c>
      <c r="D176" s="6">
        <v>0</v>
      </c>
      <c r="E176" s="6"/>
      <c r="F176" s="6">
        <f t="shared" si="13"/>
        <v>275000000</v>
      </c>
    </row>
    <row r="177" spans="1:6" ht="15.75" thickBot="1" x14ac:dyDescent="0.3">
      <c r="A177" s="5">
        <v>140505</v>
      </c>
      <c r="B177" s="5" t="s">
        <v>150</v>
      </c>
      <c r="C177" s="6">
        <v>90000</v>
      </c>
      <c r="D177" s="6">
        <v>0</v>
      </c>
      <c r="E177" s="6"/>
      <c r="F177" s="6">
        <f t="shared" si="13"/>
        <v>90000</v>
      </c>
    </row>
    <row r="178" spans="1:6" ht="15.75" thickBot="1" x14ac:dyDescent="0.3">
      <c r="A178" s="5">
        <v>140505</v>
      </c>
      <c r="B178" s="5" t="s">
        <v>151</v>
      </c>
      <c r="C178" s="6">
        <v>54780354</v>
      </c>
      <c r="D178" s="6">
        <v>20903700</v>
      </c>
      <c r="E178" s="6"/>
      <c r="F178" s="6">
        <f t="shared" si="13"/>
        <v>75684054</v>
      </c>
    </row>
    <row r="179" spans="1:6" ht="15.75" thickBot="1" x14ac:dyDescent="0.3">
      <c r="A179" s="5">
        <v>140505</v>
      </c>
      <c r="B179" s="5" t="s">
        <v>152</v>
      </c>
      <c r="C179" s="6">
        <v>6786417</v>
      </c>
      <c r="D179" s="6">
        <v>5419300</v>
      </c>
      <c r="E179" s="6"/>
      <c r="F179" s="6">
        <f t="shared" si="13"/>
        <v>12205717</v>
      </c>
    </row>
    <row r="180" spans="1:6" ht="15.75" thickBot="1" x14ac:dyDescent="0.3">
      <c r="A180" s="5">
        <v>140505</v>
      </c>
      <c r="B180" s="5" t="s">
        <v>153</v>
      </c>
      <c r="C180" s="6">
        <v>4684321</v>
      </c>
      <c r="D180" s="6">
        <v>0</v>
      </c>
      <c r="E180" s="6"/>
      <c r="F180" s="6">
        <f t="shared" si="13"/>
        <v>4684321</v>
      </c>
    </row>
    <row r="181" spans="1:6" ht="15.75" thickBot="1" x14ac:dyDescent="0.3">
      <c r="A181" s="5">
        <v>140505</v>
      </c>
      <c r="B181" s="5" t="s">
        <v>154</v>
      </c>
      <c r="C181" s="6">
        <v>3109400</v>
      </c>
      <c r="D181" s="6">
        <v>0</v>
      </c>
      <c r="E181" s="6"/>
      <c r="F181" s="6">
        <f t="shared" si="13"/>
        <v>3109400</v>
      </c>
    </row>
    <row r="182" spans="1:6" ht="15.75" thickBot="1" x14ac:dyDescent="0.3">
      <c r="A182" s="5">
        <v>140505</v>
      </c>
      <c r="B182" s="5" t="s">
        <v>155</v>
      </c>
      <c r="C182" s="6">
        <v>17241</v>
      </c>
      <c r="D182" s="6">
        <v>0</v>
      </c>
      <c r="E182" s="6"/>
      <c r="F182" s="6">
        <f t="shared" si="13"/>
        <v>17241</v>
      </c>
    </row>
    <row r="183" spans="1:6" ht="15.75" thickBot="1" x14ac:dyDescent="0.3">
      <c r="A183" s="5">
        <v>140505</v>
      </c>
      <c r="B183" s="5" t="s">
        <v>156</v>
      </c>
      <c r="C183" s="6">
        <v>17241</v>
      </c>
      <c r="D183" s="6">
        <v>0</v>
      </c>
      <c r="E183" s="6"/>
      <c r="F183" s="6">
        <f t="shared" si="13"/>
        <v>17241</v>
      </c>
    </row>
    <row r="184" spans="1:6" ht="15.75" thickBot="1" x14ac:dyDescent="0.3">
      <c r="A184" s="5">
        <v>140505</v>
      </c>
      <c r="B184" s="5" t="s">
        <v>157</v>
      </c>
      <c r="C184" s="6">
        <v>3448</v>
      </c>
      <c r="D184" s="6">
        <v>0</v>
      </c>
      <c r="E184" s="6"/>
      <c r="F184" s="6">
        <f t="shared" si="13"/>
        <v>3448</v>
      </c>
    </row>
    <row r="185" spans="1:6" ht="15.75" thickBot="1" x14ac:dyDescent="0.3">
      <c r="A185" s="5">
        <v>140505</v>
      </c>
      <c r="B185" s="5" t="s">
        <v>158</v>
      </c>
      <c r="C185" s="6">
        <v>8620</v>
      </c>
      <c r="D185" s="6">
        <v>0</v>
      </c>
      <c r="E185" s="6"/>
      <c r="F185" s="6">
        <f t="shared" si="13"/>
        <v>8620</v>
      </c>
    </row>
    <row r="186" spans="1:6" ht="15.75" thickBot="1" x14ac:dyDescent="0.3">
      <c r="A186" s="5">
        <v>140505</v>
      </c>
      <c r="B186" s="5" t="s">
        <v>159</v>
      </c>
      <c r="C186" s="6">
        <v>1312948</v>
      </c>
      <c r="D186" s="6">
        <v>0</v>
      </c>
      <c r="E186" s="6"/>
      <c r="F186" s="6">
        <f t="shared" si="13"/>
        <v>1312948</v>
      </c>
    </row>
    <row r="187" spans="1:6" ht="15.75" thickBot="1" x14ac:dyDescent="0.3">
      <c r="A187" s="5">
        <v>140505</v>
      </c>
      <c r="B187" s="5" t="s">
        <v>160</v>
      </c>
      <c r="C187" s="6">
        <v>14837160</v>
      </c>
      <c r="D187" s="6">
        <v>381600</v>
      </c>
      <c r="E187" s="6"/>
      <c r="F187" s="6">
        <f t="shared" si="13"/>
        <v>15218760</v>
      </c>
    </row>
    <row r="188" spans="1:6" ht="15.75" thickBot="1" x14ac:dyDescent="0.3">
      <c r="A188" s="5">
        <v>140505</v>
      </c>
      <c r="B188" s="5" t="s">
        <v>161</v>
      </c>
      <c r="C188" s="6">
        <v>1759288</v>
      </c>
      <c r="D188" s="6">
        <v>0</v>
      </c>
      <c r="E188" s="6"/>
      <c r="F188" s="6">
        <f t="shared" si="13"/>
        <v>1759288</v>
      </c>
    </row>
    <row r="189" spans="1:6" ht="15.75" thickBot="1" x14ac:dyDescent="0.3">
      <c r="A189" s="5">
        <v>140505</v>
      </c>
      <c r="B189" s="5" t="s">
        <v>162</v>
      </c>
      <c r="C189" s="6">
        <v>1699800</v>
      </c>
      <c r="D189" s="6">
        <v>0</v>
      </c>
      <c r="E189" s="6"/>
      <c r="F189" s="6">
        <f t="shared" si="13"/>
        <v>1699800</v>
      </c>
    </row>
    <row r="190" spans="1:6" ht="15.75" thickBot="1" x14ac:dyDescent="0.3">
      <c r="A190" s="5">
        <v>140505</v>
      </c>
      <c r="B190" s="5" t="s">
        <v>163</v>
      </c>
      <c r="C190" s="6">
        <v>22265</v>
      </c>
      <c r="D190" s="6">
        <v>0</v>
      </c>
      <c r="E190" s="6"/>
      <c r="F190" s="6">
        <f t="shared" si="13"/>
        <v>22265</v>
      </c>
    </row>
    <row r="191" spans="1:6" ht="15.75" thickBot="1" x14ac:dyDescent="0.3">
      <c r="A191" s="5">
        <v>140505</v>
      </c>
      <c r="B191" s="5" t="s">
        <v>164</v>
      </c>
      <c r="C191" s="6">
        <v>40756084</v>
      </c>
      <c r="D191" s="6">
        <v>0</v>
      </c>
      <c r="E191" s="6"/>
      <c r="F191" s="6">
        <f t="shared" si="13"/>
        <v>40756084</v>
      </c>
    </row>
    <row r="192" spans="1:6" ht="15.75" thickBot="1" x14ac:dyDescent="0.3">
      <c r="A192" s="5">
        <v>140505</v>
      </c>
      <c r="B192" s="5" t="s">
        <v>165</v>
      </c>
      <c r="C192" s="6">
        <v>13465676</v>
      </c>
      <c r="D192" s="6">
        <v>2221007</v>
      </c>
      <c r="E192" s="6"/>
      <c r="F192" s="6">
        <f>+C192+D192-E192</f>
        <v>15686683</v>
      </c>
    </row>
    <row r="193" spans="1:6" ht="15.75" thickBot="1" x14ac:dyDescent="0.3">
      <c r="A193" s="5">
        <v>140505</v>
      </c>
      <c r="B193" s="5" t="s">
        <v>166</v>
      </c>
      <c r="C193" s="6">
        <v>10500</v>
      </c>
      <c r="D193" s="6">
        <v>0</v>
      </c>
      <c r="E193" s="6"/>
      <c r="F193" s="6">
        <f t="shared" si="13"/>
        <v>10500</v>
      </c>
    </row>
    <row r="194" spans="1:6" ht="15.75" thickBot="1" x14ac:dyDescent="0.3">
      <c r="A194" s="5">
        <v>140505</v>
      </c>
      <c r="B194" s="5" t="s">
        <v>167</v>
      </c>
      <c r="C194" s="6">
        <v>87020</v>
      </c>
      <c r="D194" s="6">
        <v>0</v>
      </c>
      <c r="E194" s="6"/>
      <c r="F194" s="6">
        <f t="shared" si="13"/>
        <v>87020</v>
      </c>
    </row>
    <row r="195" spans="1:6" ht="15.75" thickBot="1" x14ac:dyDescent="0.3">
      <c r="A195" s="5">
        <v>140505</v>
      </c>
      <c r="B195" s="5" t="s">
        <v>168</v>
      </c>
      <c r="C195" s="6">
        <v>40000</v>
      </c>
      <c r="D195" s="6">
        <v>0</v>
      </c>
      <c r="E195" s="6"/>
      <c r="F195" s="6">
        <f t="shared" si="13"/>
        <v>40000</v>
      </c>
    </row>
    <row r="196" spans="1:6" ht="15.75" thickBot="1" x14ac:dyDescent="0.3">
      <c r="A196" s="5">
        <v>140505</v>
      </c>
      <c r="B196" s="5" t="s">
        <v>169</v>
      </c>
      <c r="C196" s="6">
        <v>1352883</v>
      </c>
      <c r="D196" s="6">
        <v>0</v>
      </c>
      <c r="E196" s="6"/>
      <c r="F196" s="6">
        <f t="shared" si="13"/>
        <v>1352883</v>
      </c>
    </row>
    <row r="197" spans="1:6" ht="15.75" thickBot="1" x14ac:dyDescent="0.3">
      <c r="A197" s="5">
        <v>140502</v>
      </c>
      <c r="B197" s="5" t="s">
        <v>171</v>
      </c>
      <c r="C197" s="6">
        <v>-2740400</v>
      </c>
      <c r="D197" s="6"/>
      <c r="E197" s="6">
        <v>0</v>
      </c>
      <c r="F197" s="6">
        <f t="shared" si="13"/>
        <v>-2740400</v>
      </c>
    </row>
    <row r="198" spans="1:6" ht="15.75" thickBot="1" x14ac:dyDescent="0.3">
      <c r="A198" s="5">
        <v>140502</v>
      </c>
      <c r="B198" s="5" t="s">
        <v>172</v>
      </c>
      <c r="C198" s="6">
        <v>-38126</v>
      </c>
      <c r="D198" s="6"/>
      <c r="E198" s="6">
        <v>0</v>
      </c>
      <c r="F198" s="6">
        <f t="shared" si="13"/>
        <v>-38126</v>
      </c>
    </row>
    <row r="199" spans="1:6" ht="15.75" thickBot="1" x14ac:dyDescent="0.3">
      <c r="A199" s="5">
        <v>140502</v>
      </c>
      <c r="B199" s="5" t="s">
        <v>173</v>
      </c>
      <c r="C199" s="6">
        <v>3726026</v>
      </c>
      <c r="D199" s="6"/>
      <c r="E199" s="6">
        <v>0</v>
      </c>
      <c r="F199" s="6">
        <f t="shared" si="13"/>
        <v>3726026</v>
      </c>
    </row>
    <row r="200" spans="1:6" ht="15.75" thickBot="1" x14ac:dyDescent="0.3">
      <c r="A200" s="5">
        <v>140502</v>
      </c>
      <c r="B200" s="5" t="s">
        <v>174</v>
      </c>
      <c r="C200" s="6">
        <v>-900000</v>
      </c>
      <c r="D200" s="6"/>
      <c r="E200" s="6">
        <v>900000</v>
      </c>
      <c r="F200" s="6">
        <f t="shared" si="13"/>
        <v>-1800000</v>
      </c>
    </row>
    <row r="201" spans="1:6" ht="15.75" thickBot="1" x14ac:dyDescent="0.3">
      <c r="A201" s="5">
        <v>140502</v>
      </c>
      <c r="B201" s="5" t="s">
        <v>175</v>
      </c>
      <c r="C201" s="6">
        <v>-47500</v>
      </c>
      <c r="D201" s="6"/>
      <c r="E201" s="6">
        <v>0</v>
      </c>
      <c r="F201" s="6">
        <f t="shared" si="13"/>
        <v>-47500</v>
      </c>
    </row>
    <row r="202" spans="1:6" ht="15.75" thickBot="1" x14ac:dyDescent="0.3">
      <c r="A202" s="5">
        <v>140502</v>
      </c>
      <c r="B202" s="5" t="s">
        <v>176</v>
      </c>
      <c r="C202" s="6">
        <v>0</v>
      </c>
      <c r="D202" s="6"/>
      <c r="E202" s="6">
        <v>418487</v>
      </c>
      <c r="F202" s="6">
        <f t="shared" si="13"/>
        <v>-418487</v>
      </c>
    </row>
    <row r="203" spans="1:6" ht="15" customHeight="1" thickBot="1" x14ac:dyDescent="0.3">
      <c r="A203" s="4">
        <v>15</v>
      </c>
      <c r="B203" s="4" t="s">
        <v>177</v>
      </c>
      <c r="C203" s="3">
        <f>+C204+C206+C209+C211</f>
        <v>47267491.236000001</v>
      </c>
      <c r="D203" s="3">
        <f t="shared" ref="D203:E203" si="14">+D204+D206+D209+D211</f>
        <v>2609927</v>
      </c>
      <c r="E203" s="3">
        <f t="shared" si="14"/>
        <v>869976</v>
      </c>
      <c r="F203" s="3">
        <f>+C203+D203-E203</f>
        <v>49007442.236000001</v>
      </c>
    </row>
    <row r="204" spans="1:6" s="7" customFormat="1" ht="15.75" thickBot="1" x14ac:dyDescent="0.3">
      <c r="A204" s="15">
        <v>1520</v>
      </c>
      <c r="B204" s="15" t="s">
        <v>187</v>
      </c>
      <c r="C204" s="24">
        <f>+C205</f>
        <v>73419019</v>
      </c>
      <c r="D204" s="24"/>
      <c r="E204" s="24"/>
      <c r="F204" s="24">
        <f>+C204+D204-E204</f>
        <v>73419019</v>
      </c>
    </row>
    <row r="205" spans="1:6" ht="15.75" thickBot="1" x14ac:dyDescent="0.3">
      <c r="A205" s="25">
        <v>152005</v>
      </c>
      <c r="B205" s="25" t="s">
        <v>178</v>
      </c>
      <c r="C205" s="26">
        <v>73419019</v>
      </c>
      <c r="D205" s="26"/>
      <c r="E205" s="26"/>
      <c r="F205" s="6">
        <f t="shared" ref="F205:F210" si="15">+C205+D205-E205</f>
        <v>73419019</v>
      </c>
    </row>
    <row r="206" spans="1:6" s="7" customFormat="1" ht="15.75" thickBot="1" x14ac:dyDescent="0.3">
      <c r="A206" s="15">
        <v>1528</v>
      </c>
      <c r="B206" s="15" t="s">
        <v>188</v>
      </c>
      <c r="C206" s="24">
        <f>+SUM(C207:C208)</f>
        <v>869800</v>
      </c>
      <c r="D206" s="24">
        <f>+SUM(D207:D208)</f>
        <v>2609927</v>
      </c>
      <c r="E206" s="24">
        <f t="shared" ref="E206" si="16">+SUM(E207:E208)</f>
        <v>0</v>
      </c>
      <c r="F206" s="24">
        <f>+SUM(F207:F208)</f>
        <v>3479727</v>
      </c>
    </row>
    <row r="207" spans="1:6" ht="15.75" thickBot="1" x14ac:dyDescent="0.3">
      <c r="A207" s="25">
        <v>152805</v>
      </c>
      <c r="B207" s="25" t="s">
        <v>179</v>
      </c>
      <c r="C207" s="26"/>
      <c r="D207" s="26">
        <v>2609927</v>
      </c>
      <c r="E207" s="26"/>
      <c r="F207" s="6">
        <f t="shared" si="15"/>
        <v>2609927</v>
      </c>
    </row>
    <row r="208" spans="1:6" ht="15.75" thickBot="1" x14ac:dyDescent="0.3">
      <c r="A208" s="25">
        <v>152810</v>
      </c>
      <c r="B208" s="25" t="s">
        <v>180</v>
      </c>
      <c r="C208" s="26">
        <v>869800</v>
      </c>
      <c r="D208" s="26"/>
      <c r="E208" s="26"/>
      <c r="F208" s="6">
        <f t="shared" si="15"/>
        <v>869800</v>
      </c>
    </row>
    <row r="209" spans="1:6" s="7" customFormat="1" ht="15.75" thickBot="1" x14ac:dyDescent="0.3">
      <c r="A209" s="15">
        <v>1540</v>
      </c>
      <c r="B209" s="15" t="s">
        <v>186</v>
      </c>
      <c r="C209" s="24">
        <f>+C210</f>
        <v>62000000</v>
      </c>
      <c r="D209" s="24"/>
      <c r="E209" s="24"/>
      <c r="F209" s="24">
        <f>+C209+E209</f>
        <v>62000000</v>
      </c>
    </row>
    <row r="210" spans="1:6" ht="15.75" thickBot="1" x14ac:dyDescent="0.3">
      <c r="A210" s="25">
        <v>154008</v>
      </c>
      <c r="B210" s="25" t="s">
        <v>181</v>
      </c>
      <c r="C210" s="26">
        <v>62000000</v>
      </c>
      <c r="D210" s="26"/>
      <c r="E210" s="26"/>
      <c r="F210" s="26">
        <f t="shared" si="15"/>
        <v>62000000</v>
      </c>
    </row>
    <row r="211" spans="1:6" ht="15.75" thickBot="1" x14ac:dyDescent="0.3">
      <c r="A211" s="15">
        <v>1592</v>
      </c>
      <c r="B211" s="15" t="s">
        <v>182</v>
      </c>
      <c r="C211" s="24">
        <f>+SUM(C212:C215)</f>
        <v>-89021327.763999999</v>
      </c>
      <c r="D211" s="24">
        <f t="shared" ref="D211:F211" si="17">+SUM(D212:D215)</f>
        <v>0</v>
      </c>
      <c r="E211" s="24">
        <f t="shared" si="17"/>
        <v>869976</v>
      </c>
      <c r="F211" s="24">
        <f t="shared" si="17"/>
        <v>-89891303.763999999</v>
      </c>
    </row>
    <row r="212" spans="1:6" ht="15.75" thickBot="1" x14ac:dyDescent="0.3">
      <c r="A212" s="5">
        <v>159210</v>
      </c>
      <c r="B212" s="5" t="s">
        <v>183</v>
      </c>
      <c r="C212" s="6">
        <v>-22294717.75</v>
      </c>
      <c r="D212" s="6"/>
      <c r="E212" s="6"/>
      <c r="F212" s="6">
        <f t="shared" ref="F212:F215" si="18">+C212+D212-E212</f>
        <v>-22294717.75</v>
      </c>
    </row>
    <row r="213" spans="1:6" ht="15.75" thickBot="1" x14ac:dyDescent="0.3">
      <c r="A213" s="5">
        <v>159215</v>
      </c>
      <c r="B213" s="5" t="s">
        <v>184</v>
      </c>
      <c r="C213" s="6">
        <v>-1814309.682</v>
      </c>
      <c r="D213" s="6"/>
      <c r="E213" s="6"/>
      <c r="F213" s="6">
        <f t="shared" si="18"/>
        <v>-1814309.682</v>
      </c>
    </row>
    <row r="214" spans="1:6" ht="15.75" thickBot="1" x14ac:dyDescent="0.3">
      <c r="A214" s="5">
        <v>159220</v>
      </c>
      <c r="B214" s="5" t="s">
        <v>185</v>
      </c>
      <c r="C214" s="6">
        <v>-2912300.3319999999</v>
      </c>
      <c r="D214" s="6"/>
      <c r="E214" s="6">
        <v>869976</v>
      </c>
      <c r="F214" s="6">
        <f t="shared" si="18"/>
        <v>-3782276.3319999999</v>
      </c>
    </row>
    <row r="215" spans="1:6" ht="15.75" thickBot="1" x14ac:dyDescent="0.3">
      <c r="A215" s="5">
        <v>159235</v>
      </c>
      <c r="B215" s="5" t="s">
        <v>186</v>
      </c>
      <c r="C215" s="6">
        <v>-62000000</v>
      </c>
      <c r="D215" s="6"/>
      <c r="E215" s="6"/>
      <c r="F215" s="6">
        <f t="shared" si="18"/>
        <v>-62000000</v>
      </c>
    </row>
    <row r="216" spans="1:6" ht="15.75" thickBot="1" x14ac:dyDescent="0.3">
      <c r="A216" s="4">
        <v>16</v>
      </c>
      <c r="B216" s="4" t="s">
        <v>189</v>
      </c>
      <c r="C216" s="3">
        <f>+C218</f>
        <v>1000000</v>
      </c>
      <c r="D216" s="3"/>
      <c r="E216" s="3"/>
      <c r="F216" s="3">
        <f>+C216+D216-E216</f>
        <v>1000000</v>
      </c>
    </row>
    <row r="217" spans="1:6" s="7" customFormat="1" ht="15.75" thickBot="1" x14ac:dyDescent="0.3">
      <c r="A217" s="15">
        <v>1610</v>
      </c>
      <c r="B217" s="15" t="s">
        <v>191</v>
      </c>
      <c r="C217" s="24">
        <f>+C218</f>
        <v>1000000</v>
      </c>
      <c r="D217" s="24"/>
      <c r="E217" s="24"/>
      <c r="F217" s="24">
        <f>+C217+D217-E217</f>
        <v>1000000</v>
      </c>
    </row>
    <row r="218" spans="1:6" ht="15.75" thickBot="1" x14ac:dyDescent="0.3">
      <c r="A218" s="25">
        <v>161005</v>
      </c>
      <c r="B218" s="25" t="s">
        <v>190</v>
      </c>
      <c r="C218" s="26">
        <v>1000000</v>
      </c>
      <c r="D218" s="26"/>
      <c r="E218" s="26"/>
      <c r="F218" s="26">
        <f>+C218+D218-E218</f>
        <v>1000000</v>
      </c>
    </row>
    <row r="219" spans="1:6" ht="15.75" thickBot="1" x14ac:dyDescent="0.3">
      <c r="A219" s="4">
        <v>2</v>
      </c>
      <c r="B219" s="4" t="s">
        <v>192</v>
      </c>
      <c r="C219" s="3">
        <f>+C220+C242+C352+C427+C528</f>
        <v>221299128</v>
      </c>
      <c r="D219" s="3">
        <f t="shared" ref="D219:F219" si="19">+D220+D242+D352+D427+D528</f>
        <v>603577112</v>
      </c>
      <c r="E219" s="3">
        <f t="shared" si="19"/>
        <v>769429730</v>
      </c>
      <c r="F219" s="3">
        <f t="shared" si="19"/>
        <v>387151746</v>
      </c>
    </row>
    <row r="220" spans="1:6" ht="15.75" thickBot="1" x14ac:dyDescent="0.3">
      <c r="A220" s="4">
        <v>22</v>
      </c>
      <c r="B220" s="4" t="s">
        <v>193</v>
      </c>
      <c r="C220" s="3">
        <f>+C221</f>
        <v>10724958</v>
      </c>
      <c r="D220" s="3">
        <f t="shared" ref="D220:F220" si="20">+D221</f>
        <v>244490336</v>
      </c>
      <c r="E220" s="3">
        <f t="shared" si="20"/>
        <v>277960274</v>
      </c>
      <c r="F220" s="3">
        <f t="shared" si="20"/>
        <v>44194896</v>
      </c>
    </row>
    <row r="221" spans="1:6" ht="15.75" thickBot="1" x14ac:dyDescent="0.3">
      <c r="A221" s="15">
        <v>2205</v>
      </c>
      <c r="B221" s="15" t="s">
        <v>194</v>
      </c>
      <c r="C221" s="24">
        <f>+SUM(C222:C241)</f>
        <v>10724958</v>
      </c>
      <c r="D221" s="24">
        <f>+SUM(D222:D241)</f>
        <v>244490336</v>
      </c>
      <c r="E221" s="24">
        <f>+SUM(E222:E241)</f>
        <v>277960274</v>
      </c>
      <c r="F221" s="24">
        <f>+SUM(F222:F241)</f>
        <v>44194896</v>
      </c>
    </row>
    <row r="222" spans="1:6" ht="15.75" thickBot="1" x14ac:dyDescent="0.3">
      <c r="A222" s="5">
        <v>220501</v>
      </c>
      <c r="B222" s="5" t="s">
        <v>82</v>
      </c>
      <c r="C222" s="6">
        <v>0</v>
      </c>
      <c r="D222" s="6">
        <v>81106987</v>
      </c>
      <c r="E222" s="6">
        <v>81106987</v>
      </c>
      <c r="F222" s="27">
        <f t="shared" ref="F222:F286" si="21">+C222+E222-D222</f>
        <v>0</v>
      </c>
    </row>
    <row r="223" spans="1:6" ht="15.75" thickBot="1" x14ac:dyDescent="0.3">
      <c r="A223" s="5">
        <v>220501</v>
      </c>
      <c r="B223" s="5" t="s">
        <v>88</v>
      </c>
      <c r="C223" s="6">
        <v>0</v>
      </c>
      <c r="D223" s="6">
        <v>6849969</v>
      </c>
      <c r="E223" s="6">
        <v>6909872</v>
      </c>
      <c r="F223" s="27">
        <f t="shared" si="21"/>
        <v>59903</v>
      </c>
    </row>
    <row r="224" spans="1:6" ht="15.75" thickBot="1" x14ac:dyDescent="0.3">
      <c r="A224" s="5">
        <v>220501</v>
      </c>
      <c r="B224" s="5" t="s">
        <v>195</v>
      </c>
      <c r="C224" s="6">
        <v>0</v>
      </c>
      <c r="D224" s="6">
        <v>97500</v>
      </c>
      <c r="E224" s="6">
        <v>97500</v>
      </c>
      <c r="F224" s="27">
        <f t="shared" si="21"/>
        <v>0</v>
      </c>
    </row>
    <row r="225" spans="1:6" ht="15.75" thickBot="1" x14ac:dyDescent="0.3">
      <c r="A225" s="5">
        <v>220501</v>
      </c>
      <c r="B225" s="5" t="s">
        <v>196</v>
      </c>
      <c r="C225" s="6">
        <v>0</v>
      </c>
      <c r="D225" s="6">
        <v>295000</v>
      </c>
      <c r="E225" s="6">
        <v>295000</v>
      </c>
      <c r="F225" s="27">
        <f t="shared" si="21"/>
        <v>0</v>
      </c>
    </row>
    <row r="226" spans="1:6" ht="15.75" thickBot="1" x14ac:dyDescent="0.3">
      <c r="A226" s="5">
        <v>220501</v>
      </c>
      <c r="B226" s="5" t="s">
        <v>102</v>
      </c>
      <c r="C226" s="6">
        <v>0</v>
      </c>
      <c r="D226" s="6">
        <v>10848505</v>
      </c>
      <c r="E226" s="6">
        <v>12910775</v>
      </c>
      <c r="F226" s="27">
        <f t="shared" si="21"/>
        <v>2062270</v>
      </c>
    </row>
    <row r="227" spans="1:6" ht="15.75" thickBot="1" x14ac:dyDescent="0.3">
      <c r="A227" s="5">
        <v>220501</v>
      </c>
      <c r="B227" s="5" t="s">
        <v>120</v>
      </c>
      <c r="C227" s="6">
        <v>0</v>
      </c>
      <c r="D227" s="6">
        <v>78277059</v>
      </c>
      <c r="E227" s="6">
        <v>107277766</v>
      </c>
      <c r="F227" s="27">
        <f t="shared" si="21"/>
        <v>29000707</v>
      </c>
    </row>
    <row r="228" spans="1:6" ht="15.75" thickBot="1" x14ac:dyDescent="0.3">
      <c r="A228" s="5">
        <v>220501</v>
      </c>
      <c r="B228" s="5" t="s">
        <v>125</v>
      </c>
      <c r="C228" s="6">
        <v>0</v>
      </c>
      <c r="D228" s="6">
        <v>162399</v>
      </c>
      <c r="E228" s="6">
        <v>162399</v>
      </c>
      <c r="F228" s="27">
        <f t="shared" si="21"/>
        <v>0</v>
      </c>
    </row>
    <row r="229" spans="1:6" ht="15.75" thickBot="1" x14ac:dyDescent="0.3">
      <c r="A229" s="5">
        <v>220501</v>
      </c>
      <c r="B229" s="5" t="s">
        <v>132</v>
      </c>
      <c r="C229" s="6">
        <v>0</v>
      </c>
      <c r="D229" s="6">
        <v>299703</v>
      </c>
      <c r="E229" s="6">
        <v>299703</v>
      </c>
      <c r="F229" s="27">
        <f t="shared" si="21"/>
        <v>0</v>
      </c>
    </row>
    <row r="230" spans="1:6" ht="15.75" thickBot="1" x14ac:dyDescent="0.3">
      <c r="A230" s="5">
        <v>220501</v>
      </c>
      <c r="B230" s="5" t="s">
        <v>134</v>
      </c>
      <c r="C230" s="6">
        <v>0</v>
      </c>
      <c r="D230" s="6">
        <v>0</v>
      </c>
      <c r="E230" s="6">
        <v>25900</v>
      </c>
      <c r="F230" s="27">
        <f t="shared" si="21"/>
        <v>25900</v>
      </c>
    </row>
    <row r="231" spans="1:6" ht="15.75" thickBot="1" x14ac:dyDescent="0.3">
      <c r="A231" s="5">
        <v>220501</v>
      </c>
      <c r="B231" s="5" t="s">
        <v>197</v>
      </c>
      <c r="C231" s="6">
        <v>0</v>
      </c>
      <c r="D231" s="6">
        <v>1715993</v>
      </c>
      <c r="E231" s="6">
        <v>1715993</v>
      </c>
      <c r="F231" s="27">
        <f t="shared" si="21"/>
        <v>0</v>
      </c>
    </row>
    <row r="232" spans="1:6" ht="15.75" thickBot="1" x14ac:dyDescent="0.3">
      <c r="A232" s="5">
        <v>220501</v>
      </c>
      <c r="B232" s="5" t="s">
        <v>141</v>
      </c>
      <c r="C232" s="6">
        <v>10724958</v>
      </c>
      <c r="D232" s="6">
        <v>1433675</v>
      </c>
      <c r="E232" s="6">
        <v>1433675</v>
      </c>
      <c r="F232" s="27">
        <f t="shared" si="21"/>
        <v>10724958</v>
      </c>
    </row>
    <row r="233" spans="1:6" ht="15.75" thickBot="1" x14ac:dyDescent="0.3">
      <c r="A233" s="5">
        <v>220501</v>
      </c>
      <c r="B233" s="5" t="s">
        <v>198</v>
      </c>
      <c r="C233" s="6">
        <v>0</v>
      </c>
      <c r="D233" s="6">
        <v>663651</v>
      </c>
      <c r="E233" s="6">
        <v>663651</v>
      </c>
      <c r="F233" s="27">
        <f t="shared" si="21"/>
        <v>0</v>
      </c>
    </row>
    <row r="234" spans="1:6" ht="15.75" thickBot="1" x14ac:dyDescent="0.3">
      <c r="A234" s="5">
        <v>220501</v>
      </c>
      <c r="B234" s="5" t="s">
        <v>199</v>
      </c>
      <c r="C234" s="6">
        <v>0</v>
      </c>
      <c r="D234" s="6">
        <v>88964</v>
      </c>
      <c r="E234" s="6">
        <v>88964</v>
      </c>
      <c r="F234" s="27">
        <f t="shared" si="21"/>
        <v>0</v>
      </c>
    </row>
    <row r="235" spans="1:6" ht="15.75" thickBot="1" x14ac:dyDescent="0.3">
      <c r="A235" s="5">
        <v>220501</v>
      </c>
      <c r="B235" s="5" t="s">
        <v>151</v>
      </c>
      <c r="C235" s="6">
        <v>0</v>
      </c>
      <c r="D235" s="6">
        <v>25020936</v>
      </c>
      <c r="E235" s="6">
        <v>25020936</v>
      </c>
      <c r="F235" s="27">
        <f t="shared" si="21"/>
        <v>0</v>
      </c>
    </row>
    <row r="236" spans="1:6" ht="15.75" thickBot="1" x14ac:dyDescent="0.3">
      <c r="A236" s="5">
        <v>220501</v>
      </c>
      <c r="B236" s="5" t="s">
        <v>200</v>
      </c>
      <c r="C236" s="6">
        <v>0</v>
      </c>
      <c r="D236" s="6">
        <v>8942200</v>
      </c>
      <c r="E236" s="6">
        <v>8942200</v>
      </c>
      <c r="F236" s="27">
        <f t="shared" si="21"/>
        <v>0</v>
      </c>
    </row>
    <row r="237" spans="1:6" ht="15.75" thickBot="1" x14ac:dyDescent="0.3">
      <c r="A237" s="5">
        <v>220501</v>
      </c>
      <c r="B237" s="5" t="s">
        <v>154</v>
      </c>
      <c r="C237" s="6">
        <v>0</v>
      </c>
      <c r="D237" s="6">
        <v>3970316</v>
      </c>
      <c r="E237" s="6">
        <v>5955474</v>
      </c>
      <c r="F237" s="27">
        <f t="shared" si="21"/>
        <v>1985158</v>
      </c>
    </row>
    <row r="238" spans="1:6" ht="15.75" thickBot="1" x14ac:dyDescent="0.3">
      <c r="A238" s="5">
        <v>220501</v>
      </c>
      <c r="B238" s="5" t="s">
        <v>201</v>
      </c>
      <c r="C238" s="6">
        <v>0</v>
      </c>
      <c r="D238" s="6">
        <v>454104</v>
      </c>
      <c r="E238" s="6">
        <v>454104</v>
      </c>
      <c r="F238" s="27">
        <f t="shared" si="21"/>
        <v>0</v>
      </c>
    </row>
    <row r="239" spans="1:6" ht="15.75" thickBot="1" x14ac:dyDescent="0.3">
      <c r="A239" s="5">
        <v>220501</v>
      </c>
      <c r="B239" s="5" t="s">
        <v>202</v>
      </c>
      <c r="C239" s="6">
        <v>0</v>
      </c>
      <c r="D239" s="6">
        <v>858534</v>
      </c>
      <c r="E239" s="6">
        <v>858534</v>
      </c>
      <c r="F239" s="27">
        <f t="shared" si="21"/>
        <v>0</v>
      </c>
    </row>
    <row r="240" spans="1:6" ht="15.75" thickBot="1" x14ac:dyDescent="0.3">
      <c r="A240" s="5">
        <v>220501</v>
      </c>
      <c r="B240" s="5" t="s">
        <v>164</v>
      </c>
      <c r="C240" s="6">
        <v>0</v>
      </c>
      <c r="D240" s="6">
        <v>3482500</v>
      </c>
      <c r="E240" s="6">
        <v>3818500</v>
      </c>
      <c r="F240" s="27">
        <f t="shared" si="21"/>
        <v>336000</v>
      </c>
    </row>
    <row r="241" spans="1:6" ht="15.75" thickBot="1" x14ac:dyDescent="0.3">
      <c r="A241" s="5">
        <v>220501</v>
      </c>
      <c r="B241" s="5" t="s">
        <v>165</v>
      </c>
      <c r="C241" s="6">
        <v>0</v>
      </c>
      <c r="D241" s="6">
        <v>19922341</v>
      </c>
      <c r="E241" s="6">
        <v>19922341</v>
      </c>
      <c r="F241" s="6">
        <f t="shared" si="21"/>
        <v>0</v>
      </c>
    </row>
    <row r="242" spans="1:6" ht="15.75" thickBot="1" x14ac:dyDescent="0.3">
      <c r="A242" s="4">
        <v>23</v>
      </c>
      <c r="B242" s="4" t="s">
        <v>203</v>
      </c>
      <c r="C242" s="3">
        <f>+C243+C286+C287+C319</f>
        <v>25485766</v>
      </c>
      <c r="D242" s="3">
        <f>+D243+D286+D287+D319</f>
        <v>58964104</v>
      </c>
      <c r="E242" s="3">
        <f>+E243+E286+E287+E319</f>
        <v>61766914</v>
      </c>
      <c r="F242" s="3">
        <f>+C242+E242-D242</f>
        <v>28288576</v>
      </c>
    </row>
    <row r="243" spans="1:6" ht="15.75" thickBot="1" x14ac:dyDescent="0.3">
      <c r="A243" s="15">
        <v>2335</v>
      </c>
      <c r="B243" s="15" t="s">
        <v>203</v>
      </c>
      <c r="C243" s="24">
        <f>+C244+C247+C251+C252+C256+C259</f>
        <v>10455280</v>
      </c>
      <c r="D243" s="24">
        <f t="shared" ref="D243:E243" si="22">+D244+D247+D251+D252+D256+D259</f>
        <v>32477028</v>
      </c>
      <c r="E243" s="24">
        <f t="shared" si="22"/>
        <v>48756049</v>
      </c>
      <c r="F243" s="24">
        <f>+F244+F247+F251+F252+F256+F259</f>
        <v>26734301</v>
      </c>
    </row>
    <row r="244" spans="1:6" ht="15.75" thickBot="1" x14ac:dyDescent="0.3">
      <c r="A244" s="22">
        <v>233510</v>
      </c>
      <c r="B244" s="22" t="s">
        <v>204</v>
      </c>
      <c r="C244" s="29">
        <f>+SUM(C245:C246)</f>
        <v>0</v>
      </c>
      <c r="D244" s="29">
        <f t="shared" ref="D244:E244" si="23">+SUM(D245:D246)</f>
        <v>330180</v>
      </c>
      <c r="E244" s="29">
        <f t="shared" si="23"/>
        <v>330180</v>
      </c>
      <c r="F244" s="29">
        <f>+C244+E244-D244</f>
        <v>0</v>
      </c>
    </row>
    <row r="245" spans="1:6" ht="15.75" thickBot="1" x14ac:dyDescent="0.3">
      <c r="A245" s="5"/>
      <c r="B245" s="5" t="s">
        <v>205</v>
      </c>
      <c r="C245" s="6">
        <v>0</v>
      </c>
      <c r="D245" s="6">
        <v>6500</v>
      </c>
      <c r="E245" s="6">
        <v>6500</v>
      </c>
      <c r="F245" s="6">
        <f>+C245+E245-D245</f>
        <v>0</v>
      </c>
    </row>
    <row r="246" spans="1:6" ht="15.75" thickBot="1" x14ac:dyDescent="0.3">
      <c r="A246" s="5"/>
      <c r="B246" s="5" t="s">
        <v>105</v>
      </c>
      <c r="C246" s="6">
        <v>0</v>
      </c>
      <c r="D246" s="6">
        <v>323680</v>
      </c>
      <c r="E246" s="6">
        <v>323680</v>
      </c>
      <c r="F246" s="6">
        <f>+C246+E246-D246</f>
        <v>0</v>
      </c>
    </row>
    <row r="247" spans="1:6" ht="15.75" thickBot="1" x14ac:dyDescent="0.3">
      <c r="A247" s="22">
        <v>233515</v>
      </c>
      <c r="B247" s="22" t="s">
        <v>206</v>
      </c>
      <c r="C247" s="29">
        <f>+SUM(C248:C250)</f>
        <v>0</v>
      </c>
      <c r="D247" s="29">
        <f t="shared" ref="D247:E247" si="24">+SUM(D248:D250)</f>
        <v>369602</v>
      </c>
      <c r="E247" s="29">
        <f t="shared" si="24"/>
        <v>369602</v>
      </c>
      <c r="F247" s="29">
        <f t="shared" si="21"/>
        <v>0</v>
      </c>
    </row>
    <row r="248" spans="1:6" ht="15.75" thickBot="1" x14ac:dyDescent="0.3">
      <c r="A248" s="5"/>
      <c r="B248" s="5" t="s">
        <v>207</v>
      </c>
      <c r="C248" s="6">
        <v>0</v>
      </c>
      <c r="D248" s="6">
        <v>304802</v>
      </c>
      <c r="E248" s="6">
        <v>304802</v>
      </c>
      <c r="F248" s="6">
        <f>+C248+E248-D248</f>
        <v>0</v>
      </c>
    </row>
    <row r="249" spans="1:6" ht="15.75" thickBot="1" x14ac:dyDescent="0.3">
      <c r="A249" s="5"/>
      <c r="B249" s="5" t="s">
        <v>132</v>
      </c>
      <c r="C249" s="6">
        <v>0</v>
      </c>
      <c r="D249" s="6">
        <v>52800</v>
      </c>
      <c r="E249" s="6">
        <v>52800</v>
      </c>
      <c r="F249" s="27">
        <f t="shared" si="21"/>
        <v>0</v>
      </c>
    </row>
    <row r="250" spans="1:6" ht="15.75" thickBot="1" x14ac:dyDescent="0.3">
      <c r="A250" s="5"/>
      <c r="B250" s="5" t="s">
        <v>165</v>
      </c>
      <c r="C250" s="6">
        <v>0</v>
      </c>
      <c r="D250" s="6">
        <v>12000</v>
      </c>
      <c r="E250" s="6">
        <v>12000</v>
      </c>
      <c r="F250" s="27">
        <f t="shared" si="21"/>
        <v>0</v>
      </c>
    </row>
    <row r="251" spans="1:6" ht="15.75" thickBot="1" x14ac:dyDescent="0.3">
      <c r="A251" s="22">
        <v>233525</v>
      </c>
      <c r="B251" s="22" t="s">
        <v>208</v>
      </c>
      <c r="C251" s="29">
        <v>2356280</v>
      </c>
      <c r="D251" s="29">
        <v>7075880</v>
      </c>
      <c r="E251" s="29">
        <v>6768900</v>
      </c>
      <c r="F251" s="29">
        <f>+C251+E251-D251</f>
        <v>2049300</v>
      </c>
    </row>
    <row r="252" spans="1:6" ht="15.75" thickBot="1" x14ac:dyDescent="0.3">
      <c r="A252" s="22">
        <v>233535</v>
      </c>
      <c r="B252" s="22" t="s">
        <v>209</v>
      </c>
      <c r="C252" s="29">
        <f>+SUM(C253:C255)</f>
        <v>0</v>
      </c>
      <c r="D252" s="29">
        <f t="shared" ref="D252" si="25">+SUM(D253:D255)</f>
        <v>1239065</v>
      </c>
      <c r="E252" s="29">
        <f>+SUM(E253:E255)</f>
        <v>1239065</v>
      </c>
      <c r="F252" s="29">
        <f>+C252+E252-D252</f>
        <v>0</v>
      </c>
    </row>
    <row r="253" spans="1:6" ht="15.75" thickBot="1" x14ac:dyDescent="0.3">
      <c r="A253" s="5"/>
      <c r="B253" s="5" t="s">
        <v>210</v>
      </c>
      <c r="C253" s="6">
        <v>0</v>
      </c>
      <c r="D253" s="6">
        <v>385810</v>
      </c>
      <c r="E253" s="6">
        <v>385810</v>
      </c>
      <c r="F253" s="27">
        <f>+C254+E254-D254</f>
        <v>0</v>
      </c>
    </row>
    <row r="254" spans="1:6" ht="15.75" thickBot="1" x14ac:dyDescent="0.3">
      <c r="A254" s="5"/>
      <c r="B254" s="5" t="s">
        <v>211</v>
      </c>
      <c r="C254" s="6">
        <v>0</v>
      </c>
      <c r="D254" s="6">
        <v>406945</v>
      </c>
      <c r="E254" s="6">
        <v>406945</v>
      </c>
      <c r="F254" s="27">
        <f>+C255+E255-D255</f>
        <v>0</v>
      </c>
    </row>
    <row r="255" spans="1:6" ht="15.75" thickBot="1" x14ac:dyDescent="0.3">
      <c r="A255" s="5"/>
      <c r="B255" s="5" t="s">
        <v>212</v>
      </c>
      <c r="C255" s="6">
        <v>0</v>
      </c>
      <c r="D255" s="6">
        <v>446310</v>
      </c>
      <c r="E255" s="6">
        <v>446310</v>
      </c>
      <c r="F255" s="27">
        <f>+C256+E256-D256</f>
        <v>0</v>
      </c>
    </row>
    <row r="256" spans="1:6" ht="15.75" thickBot="1" x14ac:dyDescent="0.3">
      <c r="A256" s="22">
        <v>233555</v>
      </c>
      <c r="B256" s="22" t="s">
        <v>213</v>
      </c>
      <c r="C256" s="29">
        <f>+SUM(C257:C258)</f>
        <v>0</v>
      </c>
      <c r="D256" s="29">
        <f t="shared" ref="D256:E256" si="26">+SUM(D257:D258)</f>
        <v>1414079</v>
      </c>
      <c r="E256" s="29">
        <f t="shared" si="26"/>
        <v>1414079</v>
      </c>
      <c r="F256" s="29">
        <f>+C256+E256-D256</f>
        <v>0</v>
      </c>
    </row>
    <row r="257" spans="1:6" ht="15.75" thickBot="1" x14ac:dyDescent="0.3">
      <c r="A257" s="5"/>
      <c r="B257" s="5" t="s">
        <v>214</v>
      </c>
      <c r="C257" s="6">
        <v>0</v>
      </c>
      <c r="D257" s="6">
        <v>525395</v>
      </c>
      <c r="E257" s="6">
        <v>525395</v>
      </c>
      <c r="F257" s="27">
        <f t="shared" si="21"/>
        <v>0</v>
      </c>
    </row>
    <row r="258" spans="1:6" ht="15.75" thickBot="1" x14ac:dyDescent="0.3">
      <c r="A258" s="5"/>
      <c r="B258" s="5" t="s">
        <v>215</v>
      </c>
      <c r="C258" s="6">
        <v>0</v>
      </c>
      <c r="D258" s="6">
        <v>888684</v>
      </c>
      <c r="E258" s="6">
        <v>888684</v>
      </c>
      <c r="F258" s="27">
        <f t="shared" si="21"/>
        <v>0</v>
      </c>
    </row>
    <row r="259" spans="1:6" ht="15.75" thickBot="1" x14ac:dyDescent="0.3">
      <c r="A259" s="22">
        <v>233595</v>
      </c>
      <c r="B259" s="22" t="s">
        <v>37</v>
      </c>
      <c r="C259" s="29">
        <f>+SUM(C260:C284)</f>
        <v>8099000</v>
      </c>
      <c r="D259" s="29">
        <f t="shared" ref="D259:E259" si="27">+SUM(D260:D284)</f>
        <v>22048222</v>
      </c>
      <c r="E259" s="29">
        <f t="shared" si="27"/>
        <v>38634223</v>
      </c>
      <c r="F259" s="29">
        <f>+C259+E259-D259</f>
        <v>24685001</v>
      </c>
    </row>
    <row r="260" spans="1:6" ht="15.75" thickBot="1" x14ac:dyDescent="0.3">
      <c r="A260" s="5"/>
      <c r="B260" s="5" t="s">
        <v>216</v>
      </c>
      <c r="C260" s="6">
        <v>0</v>
      </c>
      <c r="D260" s="6">
        <v>2609927</v>
      </c>
      <c r="E260" s="6">
        <v>2609927</v>
      </c>
      <c r="F260" s="27">
        <v>0</v>
      </c>
    </row>
    <row r="261" spans="1:6" ht="15.75" thickBot="1" x14ac:dyDescent="0.3">
      <c r="A261" s="5"/>
      <c r="B261" s="5" t="s">
        <v>217</v>
      </c>
      <c r="C261" s="6">
        <v>0</v>
      </c>
      <c r="D261" s="6">
        <v>0</v>
      </c>
      <c r="E261" s="6">
        <v>190000</v>
      </c>
      <c r="F261" s="27">
        <v>190000</v>
      </c>
    </row>
    <row r="262" spans="1:6" ht="15.75" thickBot="1" x14ac:dyDescent="0.3">
      <c r="A262" s="5"/>
      <c r="B262" s="5" t="s">
        <v>100</v>
      </c>
      <c r="C262" s="6">
        <v>8099000</v>
      </c>
      <c r="D262" s="6">
        <v>8092000</v>
      </c>
      <c r="E262" s="6">
        <v>3058000</v>
      </c>
      <c r="F262" s="27">
        <v>3065000</v>
      </c>
    </row>
    <row r="263" spans="1:6" ht="15.75" thickBot="1" x14ac:dyDescent="0.3">
      <c r="A263" s="5"/>
      <c r="B263" s="5" t="s">
        <v>218</v>
      </c>
      <c r="C263" s="6">
        <v>0</v>
      </c>
      <c r="D263" s="6">
        <v>0</v>
      </c>
      <c r="E263" s="6">
        <v>8700000</v>
      </c>
      <c r="F263" s="27">
        <v>8700000</v>
      </c>
    </row>
    <row r="264" spans="1:6" ht="15.75" thickBot="1" x14ac:dyDescent="0.3">
      <c r="A264" s="5"/>
      <c r="B264" s="5" t="s">
        <v>102</v>
      </c>
      <c r="C264" s="6">
        <v>0</v>
      </c>
      <c r="D264" s="6">
        <v>5577330</v>
      </c>
      <c r="E264" s="6">
        <v>13812330</v>
      </c>
      <c r="F264" s="27">
        <v>8235000</v>
      </c>
    </row>
    <row r="265" spans="1:6" ht="15.75" thickBot="1" x14ac:dyDescent="0.3">
      <c r="A265" s="5"/>
      <c r="B265" s="5" t="s">
        <v>105</v>
      </c>
      <c r="C265" s="6">
        <v>0</v>
      </c>
      <c r="D265" s="6">
        <v>1016549</v>
      </c>
      <c r="E265" s="6">
        <v>1016549</v>
      </c>
      <c r="F265" s="27">
        <v>0</v>
      </c>
    </row>
    <row r="266" spans="1:6" ht="15.75" thickBot="1" x14ac:dyDescent="0.3">
      <c r="A266" s="5"/>
      <c r="B266" s="5" t="s">
        <v>219</v>
      </c>
      <c r="C266" s="6">
        <v>0</v>
      </c>
      <c r="D266" s="6">
        <v>59310</v>
      </c>
      <c r="E266" s="6">
        <v>59310</v>
      </c>
      <c r="F266" s="6">
        <v>0</v>
      </c>
    </row>
    <row r="267" spans="1:6" ht="15.75" thickBot="1" x14ac:dyDescent="0.3">
      <c r="A267" s="5"/>
      <c r="B267" s="5" t="s">
        <v>220</v>
      </c>
      <c r="C267" s="6">
        <v>0</v>
      </c>
      <c r="D267" s="6">
        <v>101300</v>
      </c>
      <c r="E267" s="6">
        <v>101300</v>
      </c>
      <c r="F267" s="6">
        <v>0</v>
      </c>
    </row>
    <row r="268" spans="1:6" ht="15.75" thickBot="1" x14ac:dyDescent="0.3">
      <c r="A268" s="5"/>
      <c r="B268" s="5" t="s">
        <v>221</v>
      </c>
      <c r="C268" s="6">
        <v>0</v>
      </c>
      <c r="D268" s="6">
        <v>36500</v>
      </c>
      <c r="E268" s="6">
        <v>36500</v>
      </c>
      <c r="F268" s="6">
        <v>0</v>
      </c>
    </row>
    <row r="269" spans="1:6" ht="15.75" thickBot="1" x14ac:dyDescent="0.3">
      <c r="A269" s="5"/>
      <c r="B269" s="5" t="s">
        <v>222</v>
      </c>
      <c r="C269" s="6">
        <v>0</v>
      </c>
      <c r="D269" s="6">
        <v>80000</v>
      </c>
      <c r="E269" s="6">
        <v>80000</v>
      </c>
      <c r="F269" s="6">
        <v>0</v>
      </c>
    </row>
    <row r="270" spans="1:6" ht="15.75" thickBot="1" x14ac:dyDescent="0.3">
      <c r="A270" s="5"/>
      <c r="B270" s="5" t="s">
        <v>223</v>
      </c>
      <c r="C270" s="6">
        <v>0</v>
      </c>
      <c r="D270" s="6">
        <v>0</v>
      </c>
      <c r="E270" s="6">
        <v>4200000</v>
      </c>
      <c r="F270" s="6">
        <v>4200000</v>
      </c>
    </row>
    <row r="271" spans="1:6" ht="15.75" thickBot="1" x14ac:dyDescent="0.3">
      <c r="A271" s="5"/>
      <c r="B271" s="5" t="s">
        <v>224</v>
      </c>
      <c r="C271" s="6">
        <v>0</v>
      </c>
      <c r="D271" s="6">
        <v>87954</v>
      </c>
      <c r="E271" s="6">
        <v>87954</v>
      </c>
      <c r="F271" s="6">
        <v>0</v>
      </c>
    </row>
    <row r="272" spans="1:6" ht="15.75" thickBot="1" x14ac:dyDescent="0.3">
      <c r="A272" s="5"/>
      <c r="B272" s="5" t="s">
        <v>132</v>
      </c>
      <c r="C272" s="6">
        <v>0</v>
      </c>
      <c r="D272" s="6">
        <v>26800</v>
      </c>
      <c r="E272" s="6">
        <v>26800</v>
      </c>
      <c r="F272" s="6">
        <v>0</v>
      </c>
    </row>
    <row r="273" spans="1:6" ht="15.75" thickBot="1" x14ac:dyDescent="0.3">
      <c r="A273" s="5"/>
      <c r="B273" s="5" t="s">
        <v>133</v>
      </c>
      <c r="C273" s="6">
        <v>0</v>
      </c>
      <c r="D273" s="6">
        <v>100353</v>
      </c>
      <c r="E273" s="6">
        <v>100353</v>
      </c>
      <c r="F273" s="6">
        <v>0</v>
      </c>
    </row>
    <row r="274" spans="1:6" ht="15.75" thickBot="1" x14ac:dyDescent="0.3">
      <c r="A274" s="5"/>
      <c r="B274" s="5" t="s">
        <v>225</v>
      </c>
      <c r="C274" s="6">
        <v>0</v>
      </c>
      <c r="D274" s="6">
        <v>1049320</v>
      </c>
      <c r="E274" s="6">
        <v>1049320</v>
      </c>
      <c r="F274" s="6">
        <v>0</v>
      </c>
    </row>
    <row r="275" spans="1:6" ht="15.75" thickBot="1" x14ac:dyDescent="0.3">
      <c r="A275" s="5"/>
      <c r="B275" s="5" t="s">
        <v>226</v>
      </c>
      <c r="C275" s="6">
        <v>0</v>
      </c>
      <c r="D275" s="6">
        <v>790000</v>
      </c>
      <c r="E275" s="6">
        <v>790000</v>
      </c>
      <c r="F275" s="6">
        <v>0</v>
      </c>
    </row>
    <row r="276" spans="1:6" ht="15.75" thickBot="1" x14ac:dyDescent="0.3">
      <c r="A276" s="5"/>
      <c r="B276" s="5" t="s">
        <v>227</v>
      </c>
      <c r="C276" s="6">
        <v>0</v>
      </c>
      <c r="D276" s="6">
        <v>330300</v>
      </c>
      <c r="E276" s="6">
        <v>330300</v>
      </c>
      <c r="F276" s="6">
        <v>0</v>
      </c>
    </row>
    <row r="277" spans="1:6" ht="15.75" thickBot="1" x14ac:dyDescent="0.3">
      <c r="A277" s="5"/>
      <c r="B277" s="5" t="s">
        <v>228</v>
      </c>
      <c r="C277" s="6">
        <v>0</v>
      </c>
      <c r="D277" s="6">
        <v>480000</v>
      </c>
      <c r="E277" s="6">
        <v>480000</v>
      </c>
      <c r="F277" s="6">
        <v>0</v>
      </c>
    </row>
    <row r="278" spans="1:6" ht="15.75" thickBot="1" x14ac:dyDescent="0.3">
      <c r="A278" s="5"/>
      <c r="B278" s="5" t="s">
        <v>229</v>
      </c>
      <c r="C278" s="6">
        <v>0</v>
      </c>
      <c r="D278" s="6">
        <v>135200</v>
      </c>
      <c r="E278" s="6">
        <v>135200</v>
      </c>
      <c r="F278" s="6">
        <v>0</v>
      </c>
    </row>
    <row r="279" spans="1:6" ht="15.75" thickBot="1" x14ac:dyDescent="0.3">
      <c r="A279" s="5"/>
      <c r="B279" s="5" t="s">
        <v>230</v>
      </c>
      <c r="C279" s="6">
        <v>0</v>
      </c>
      <c r="D279" s="6">
        <v>20000</v>
      </c>
      <c r="E279" s="6">
        <v>20000</v>
      </c>
      <c r="F279" s="6">
        <v>0</v>
      </c>
    </row>
    <row r="280" spans="1:6" ht="15.75" thickBot="1" x14ac:dyDescent="0.3">
      <c r="A280" s="5"/>
      <c r="B280" s="5" t="s">
        <v>231</v>
      </c>
      <c r="C280" s="6">
        <v>0</v>
      </c>
      <c r="D280" s="6">
        <v>80000</v>
      </c>
      <c r="E280" s="6">
        <v>80000</v>
      </c>
      <c r="F280" s="6">
        <v>0</v>
      </c>
    </row>
    <row r="281" spans="1:6" ht="15.75" thickBot="1" x14ac:dyDescent="0.3">
      <c r="A281" s="5"/>
      <c r="B281" s="5" t="s">
        <v>232</v>
      </c>
      <c r="C281" s="6">
        <v>0</v>
      </c>
      <c r="D281" s="6">
        <v>0</v>
      </c>
      <c r="E281" s="6">
        <v>151652</v>
      </c>
      <c r="F281" s="6">
        <v>151652</v>
      </c>
    </row>
    <row r="282" spans="1:6" ht="15.75" thickBot="1" x14ac:dyDescent="0.3">
      <c r="A282" s="5"/>
      <c r="B282" s="5" t="s">
        <v>233</v>
      </c>
      <c r="C282" s="6">
        <v>0</v>
      </c>
      <c r="D282" s="6">
        <v>1367379</v>
      </c>
      <c r="E282" s="6">
        <v>1367379</v>
      </c>
      <c r="F282" s="6">
        <v>0</v>
      </c>
    </row>
    <row r="283" spans="1:6" ht="15.75" thickBot="1" x14ac:dyDescent="0.3">
      <c r="A283" s="5"/>
      <c r="B283" s="5" t="s">
        <v>165</v>
      </c>
      <c r="C283" s="6">
        <v>0</v>
      </c>
      <c r="D283" s="6">
        <v>8000</v>
      </c>
      <c r="E283" s="6">
        <v>8000</v>
      </c>
      <c r="F283" s="6">
        <v>0</v>
      </c>
    </row>
    <row r="284" spans="1:6" ht="15.75" thickBot="1" x14ac:dyDescent="0.3">
      <c r="A284" s="5"/>
      <c r="B284" s="5" t="s">
        <v>234</v>
      </c>
      <c r="C284" s="6">
        <v>0</v>
      </c>
      <c r="D284" s="6">
        <v>0</v>
      </c>
      <c r="E284" s="6">
        <v>143349</v>
      </c>
      <c r="F284" s="6">
        <v>143349</v>
      </c>
    </row>
    <row r="285" spans="1:6" ht="15.75" thickBot="1" x14ac:dyDescent="0.3">
      <c r="A285" s="30">
        <v>2355</v>
      </c>
      <c r="B285" s="15" t="s">
        <v>235</v>
      </c>
      <c r="C285" s="24">
        <f>+C286</f>
        <v>14510168</v>
      </c>
      <c r="D285" s="24">
        <f t="shared" ref="D285:E285" si="28">+D286</f>
        <v>20780668</v>
      </c>
      <c r="E285" s="24">
        <f t="shared" si="28"/>
        <v>6270500</v>
      </c>
      <c r="F285" s="24">
        <f t="shared" si="21"/>
        <v>0</v>
      </c>
    </row>
    <row r="286" spans="1:6" ht="15.75" thickBot="1" x14ac:dyDescent="0.3">
      <c r="A286" s="25">
        <v>235510</v>
      </c>
      <c r="B286" s="25" t="s">
        <v>236</v>
      </c>
      <c r="C286" s="26">
        <v>14510168</v>
      </c>
      <c r="D286" s="26">
        <v>20780668</v>
      </c>
      <c r="E286" s="26">
        <v>6270500</v>
      </c>
      <c r="F286" s="26">
        <f t="shared" si="21"/>
        <v>0</v>
      </c>
    </row>
    <row r="287" spans="1:6" ht="15.75" thickBot="1" x14ac:dyDescent="0.3">
      <c r="A287" s="15">
        <v>2365</v>
      </c>
      <c r="B287" s="15" t="s">
        <v>42</v>
      </c>
      <c r="C287" s="24">
        <f>+C288+C293+C300</f>
        <v>517896</v>
      </c>
      <c r="D287" s="24">
        <f>+D288+D293+D300+D290</f>
        <v>2710344</v>
      </c>
      <c r="E287" s="24">
        <f>+E293+E300+E290</f>
        <v>2464057</v>
      </c>
      <c r="F287" s="24">
        <f>+F293+F300+F290</f>
        <v>271609</v>
      </c>
    </row>
    <row r="288" spans="1:6" ht="15.75" thickBot="1" x14ac:dyDescent="0.3">
      <c r="A288" s="22">
        <v>236515</v>
      </c>
      <c r="B288" s="22" t="s">
        <v>237</v>
      </c>
      <c r="C288" s="29">
        <f>+C289</f>
        <v>68310</v>
      </c>
      <c r="D288" s="29">
        <f>+D289</f>
        <v>68310</v>
      </c>
      <c r="E288" s="29"/>
      <c r="F288" s="29">
        <f t="shared" ref="F288:F349" si="29">+C288+E288-D288</f>
        <v>0</v>
      </c>
    </row>
    <row r="289" spans="1:6" ht="15.75" thickBot="1" x14ac:dyDescent="0.3">
      <c r="A289" s="5"/>
      <c r="B289" s="5" t="s">
        <v>44</v>
      </c>
      <c r="C289" s="6">
        <v>68310</v>
      </c>
      <c r="D289" s="6">
        <v>68310</v>
      </c>
      <c r="E289" s="6">
        <v>0</v>
      </c>
      <c r="F289" s="6">
        <f t="shared" si="29"/>
        <v>0</v>
      </c>
    </row>
    <row r="290" spans="1:6" ht="15.75" thickBot="1" x14ac:dyDescent="0.3">
      <c r="A290" s="22">
        <v>236525</v>
      </c>
      <c r="B290" s="22" t="s">
        <v>238</v>
      </c>
      <c r="C290" s="29">
        <f>+SUM(C291:C292)</f>
        <v>0</v>
      </c>
      <c r="D290" s="29">
        <f t="shared" ref="D290:E290" si="30">+SUM(D291:D292)</f>
        <v>53070</v>
      </c>
      <c r="E290" s="29">
        <f t="shared" si="30"/>
        <v>53070</v>
      </c>
      <c r="F290" s="29">
        <f>+C290+E290-D290</f>
        <v>0</v>
      </c>
    </row>
    <row r="291" spans="1:6" ht="15.75" thickBot="1" x14ac:dyDescent="0.3">
      <c r="A291" s="5"/>
      <c r="B291" s="5" t="s">
        <v>100</v>
      </c>
      <c r="C291" s="6">
        <v>0</v>
      </c>
      <c r="D291" s="6">
        <v>53070</v>
      </c>
      <c r="E291" s="6">
        <v>0</v>
      </c>
      <c r="F291" s="6">
        <f t="shared" si="29"/>
        <v>-53070</v>
      </c>
    </row>
    <row r="292" spans="1:6" ht="15.75" thickBot="1" x14ac:dyDescent="0.3">
      <c r="A292" s="5"/>
      <c r="B292" s="5" t="s">
        <v>102</v>
      </c>
      <c r="C292" s="6">
        <v>0</v>
      </c>
      <c r="D292" s="6">
        <v>0</v>
      </c>
      <c r="E292" s="6">
        <v>53070</v>
      </c>
      <c r="F292" s="6">
        <f t="shared" si="29"/>
        <v>53070</v>
      </c>
    </row>
    <row r="293" spans="1:6" ht="15.75" thickBot="1" x14ac:dyDescent="0.3">
      <c r="A293" s="22">
        <v>236540</v>
      </c>
      <c r="B293" s="22" t="s">
        <v>239</v>
      </c>
      <c r="C293" s="29">
        <f>+SUM(C294:C299)</f>
        <v>243719</v>
      </c>
      <c r="D293" s="29">
        <f>+SUM(D294:D299)</f>
        <v>891698</v>
      </c>
      <c r="E293" s="29">
        <f t="shared" ref="E293" si="31">+SUM(E294:E299)</f>
        <v>768517</v>
      </c>
      <c r="F293" s="29">
        <f>+C293+E293-D293</f>
        <v>120538</v>
      </c>
    </row>
    <row r="294" spans="1:6" ht="15.75" thickBot="1" x14ac:dyDescent="0.3">
      <c r="A294" s="5"/>
      <c r="B294" s="5" t="s">
        <v>100</v>
      </c>
      <c r="C294" s="6">
        <v>243719</v>
      </c>
      <c r="D294" s="6">
        <v>890369</v>
      </c>
      <c r="E294" s="6">
        <v>0</v>
      </c>
      <c r="F294" s="6">
        <f t="shared" si="29"/>
        <v>-646650</v>
      </c>
    </row>
    <row r="295" spans="1:6" ht="15.75" thickBot="1" x14ac:dyDescent="0.3">
      <c r="A295" s="5"/>
      <c r="B295" s="5" t="s">
        <v>102</v>
      </c>
      <c r="C295" s="6">
        <v>0</v>
      </c>
      <c r="D295" s="6">
        <v>0</v>
      </c>
      <c r="E295" s="6">
        <v>191125</v>
      </c>
      <c r="F295" s="6">
        <f t="shared" si="29"/>
        <v>191125</v>
      </c>
    </row>
    <row r="296" spans="1:6" ht="15.75" thickBot="1" x14ac:dyDescent="0.3">
      <c r="A296" s="5"/>
      <c r="B296" s="5" t="s">
        <v>120</v>
      </c>
      <c r="C296" s="6">
        <v>0</v>
      </c>
      <c r="D296" s="6">
        <v>0</v>
      </c>
      <c r="E296" s="6">
        <v>185078</v>
      </c>
      <c r="F296" s="6">
        <f t="shared" si="29"/>
        <v>185078</v>
      </c>
    </row>
    <row r="297" spans="1:6" ht="15.75" thickBot="1" x14ac:dyDescent="0.3">
      <c r="A297" s="5"/>
      <c r="B297" s="5" t="s">
        <v>141</v>
      </c>
      <c r="C297" s="6">
        <v>0</v>
      </c>
      <c r="D297" s="6">
        <v>0</v>
      </c>
      <c r="E297" s="6">
        <v>30766</v>
      </c>
      <c r="F297" s="6">
        <f t="shared" si="29"/>
        <v>30766</v>
      </c>
    </row>
    <row r="298" spans="1:6" ht="15.75" thickBot="1" x14ac:dyDescent="0.3">
      <c r="A298" s="5"/>
      <c r="B298" s="5" t="s">
        <v>151</v>
      </c>
      <c r="C298" s="6">
        <v>0</v>
      </c>
      <c r="D298" s="6">
        <v>0</v>
      </c>
      <c r="E298" s="6">
        <v>360219</v>
      </c>
      <c r="F298" s="6">
        <f t="shared" si="29"/>
        <v>360219</v>
      </c>
    </row>
    <row r="299" spans="1:6" ht="15.75" thickBot="1" x14ac:dyDescent="0.3">
      <c r="A299" s="18"/>
      <c r="B299" s="18" t="s">
        <v>240</v>
      </c>
      <c r="C299" s="28">
        <v>0</v>
      </c>
      <c r="D299" s="28">
        <v>1329</v>
      </c>
      <c r="E299" s="28">
        <v>1329</v>
      </c>
      <c r="F299" s="28">
        <v>0</v>
      </c>
    </row>
    <row r="300" spans="1:6" ht="15.75" thickBot="1" x14ac:dyDescent="0.3">
      <c r="A300" s="22">
        <v>236575</v>
      </c>
      <c r="B300" s="22" t="s">
        <v>241</v>
      </c>
      <c r="C300" s="29">
        <f>+SUM(C301:C318)</f>
        <v>205867</v>
      </c>
      <c r="D300" s="29">
        <f t="shared" ref="D300:F300" si="32">+SUM(D301:D318)</f>
        <v>1697266</v>
      </c>
      <c r="E300" s="29">
        <f t="shared" si="32"/>
        <v>1642470</v>
      </c>
      <c r="F300" s="29">
        <f t="shared" si="32"/>
        <v>151071</v>
      </c>
    </row>
    <row r="301" spans="1:6" ht="15.75" thickBot="1" x14ac:dyDescent="0.3">
      <c r="A301" s="5"/>
      <c r="B301" s="5" t="s">
        <v>242</v>
      </c>
      <c r="C301" s="6">
        <v>0</v>
      </c>
      <c r="D301" s="6">
        <v>0</v>
      </c>
      <c r="E301" s="6">
        <v>14179</v>
      </c>
      <c r="F301" s="6">
        <f t="shared" si="29"/>
        <v>14179</v>
      </c>
    </row>
    <row r="302" spans="1:6" ht="15.75" thickBot="1" x14ac:dyDescent="0.3">
      <c r="A302" s="5"/>
      <c r="B302" s="5" t="s">
        <v>243</v>
      </c>
      <c r="C302" s="6">
        <v>0</v>
      </c>
      <c r="D302" s="6">
        <v>0</v>
      </c>
      <c r="E302" s="6">
        <v>15639</v>
      </c>
      <c r="F302" s="6">
        <f t="shared" si="29"/>
        <v>15639</v>
      </c>
    </row>
    <row r="303" spans="1:6" ht="15.75" thickBot="1" x14ac:dyDescent="0.3">
      <c r="A303" s="5"/>
      <c r="B303" s="5" t="s">
        <v>244</v>
      </c>
      <c r="C303" s="6">
        <v>0</v>
      </c>
      <c r="D303" s="6">
        <v>0</v>
      </c>
      <c r="E303" s="6">
        <v>38110</v>
      </c>
      <c r="F303" s="6">
        <f t="shared" si="29"/>
        <v>38110</v>
      </c>
    </row>
    <row r="304" spans="1:6" ht="15.75" thickBot="1" x14ac:dyDescent="0.3">
      <c r="A304" s="5"/>
      <c r="B304" s="5" t="s">
        <v>245</v>
      </c>
      <c r="C304" s="6">
        <v>0</v>
      </c>
      <c r="D304" s="6">
        <v>0</v>
      </c>
      <c r="E304" s="6">
        <v>257536</v>
      </c>
      <c r="F304" s="6">
        <f t="shared" si="29"/>
        <v>257536</v>
      </c>
    </row>
    <row r="305" spans="1:6" ht="15.75" thickBot="1" x14ac:dyDescent="0.3">
      <c r="A305" s="5"/>
      <c r="B305" s="5" t="s">
        <v>246</v>
      </c>
      <c r="C305" s="6">
        <v>0</v>
      </c>
      <c r="D305" s="6">
        <v>2540</v>
      </c>
      <c r="E305" s="6">
        <v>2540</v>
      </c>
      <c r="F305" s="6">
        <f t="shared" si="29"/>
        <v>0</v>
      </c>
    </row>
    <row r="306" spans="1:6" ht="15.75" thickBot="1" x14ac:dyDescent="0.3">
      <c r="A306" s="5"/>
      <c r="B306" s="5" t="s">
        <v>247</v>
      </c>
      <c r="C306" s="6">
        <v>0</v>
      </c>
      <c r="D306" s="6">
        <v>0</v>
      </c>
      <c r="E306" s="6">
        <v>1200</v>
      </c>
      <c r="F306" s="6">
        <f t="shared" si="29"/>
        <v>1200</v>
      </c>
    </row>
    <row r="307" spans="1:6" ht="15.75" thickBot="1" x14ac:dyDescent="0.3">
      <c r="A307" s="5"/>
      <c r="B307" s="5" t="s">
        <v>248</v>
      </c>
      <c r="C307" s="6">
        <v>0</v>
      </c>
      <c r="D307" s="6">
        <v>0</v>
      </c>
      <c r="E307" s="6">
        <v>591447</v>
      </c>
      <c r="F307" s="6">
        <f t="shared" si="29"/>
        <v>591447</v>
      </c>
    </row>
    <row r="308" spans="1:6" ht="15.75" thickBot="1" x14ac:dyDescent="0.3">
      <c r="A308" s="5"/>
      <c r="B308" s="5" t="s">
        <v>100</v>
      </c>
      <c r="C308" s="6">
        <v>205867</v>
      </c>
      <c r="D308" s="6">
        <v>1668507</v>
      </c>
      <c r="E308" s="6">
        <v>0</v>
      </c>
      <c r="F308" s="6">
        <f t="shared" si="29"/>
        <v>-1462640</v>
      </c>
    </row>
    <row r="309" spans="1:6" ht="15.75" thickBot="1" x14ac:dyDescent="0.3">
      <c r="A309" s="5"/>
      <c r="B309" s="5" t="s">
        <v>249</v>
      </c>
      <c r="C309" s="6">
        <v>0</v>
      </c>
      <c r="D309" s="6">
        <v>0</v>
      </c>
      <c r="E309" s="6">
        <v>30000</v>
      </c>
      <c r="F309" s="6">
        <f t="shared" si="29"/>
        <v>30000</v>
      </c>
    </row>
    <row r="310" spans="1:6" ht="15.75" thickBot="1" x14ac:dyDescent="0.3">
      <c r="A310" s="5"/>
      <c r="B310" s="5" t="s">
        <v>250</v>
      </c>
      <c r="C310" s="6">
        <v>0</v>
      </c>
      <c r="D310" s="6">
        <v>0</v>
      </c>
      <c r="E310" s="6">
        <v>220016</v>
      </c>
      <c r="F310" s="6">
        <f t="shared" si="29"/>
        <v>220016</v>
      </c>
    </row>
    <row r="311" spans="1:6" ht="15.75" thickBot="1" x14ac:dyDescent="0.3">
      <c r="A311" s="5"/>
      <c r="B311" s="5" t="s">
        <v>251</v>
      </c>
      <c r="C311" s="6">
        <v>0</v>
      </c>
      <c r="D311" s="6">
        <v>0</v>
      </c>
      <c r="E311" s="6">
        <v>12299</v>
      </c>
      <c r="F311" s="6">
        <f t="shared" si="29"/>
        <v>12299</v>
      </c>
    </row>
    <row r="312" spans="1:6" ht="15.75" thickBot="1" x14ac:dyDescent="0.3">
      <c r="A312" s="5"/>
      <c r="B312" s="5" t="s">
        <v>252</v>
      </c>
      <c r="C312" s="6">
        <v>0</v>
      </c>
      <c r="D312" s="6">
        <v>0</v>
      </c>
      <c r="E312" s="6">
        <v>15272</v>
      </c>
      <c r="F312" s="6">
        <f t="shared" si="29"/>
        <v>15272</v>
      </c>
    </row>
    <row r="313" spans="1:6" ht="15.75" thickBot="1" x14ac:dyDescent="0.3">
      <c r="A313" s="5"/>
      <c r="B313" s="5" t="s">
        <v>253</v>
      </c>
      <c r="C313" s="6">
        <v>0</v>
      </c>
      <c r="D313" s="6">
        <v>0</v>
      </c>
      <c r="E313" s="6">
        <v>115747</v>
      </c>
      <c r="F313" s="6">
        <f t="shared" si="29"/>
        <v>115747</v>
      </c>
    </row>
    <row r="314" spans="1:6" ht="15.75" thickBot="1" x14ac:dyDescent="0.3">
      <c r="A314" s="5"/>
      <c r="B314" s="5" t="s">
        <v>254</v>
      </c>
      <c r="C314" s="6">
        <v>0</v>
      </c>
      <c r="D314" s="6">
        <v>0</v>
      </c>
      <c r="E314" s="6">
        <v>7920</v>
      </c>
      <c r="F314" s="6">
        <f t="shared" si="29"/>
        <v>7920</v>
      </c>
    </row>
    <row r="315" spans="1:6" ht="15.75" thickBot="1" x14ac:dyDescent="0.3">
      <c r="A315" s="5"/>
      <c r="B315" s="5" t="s">
        <v>255</v>
      </c>
      <c r="C315" s="6">
        <v>0</v>
      </c>
      <c r="D315" s="6">
        <v>26219</v>
      </c>
      <c r="E315" s="6">
        <v>105621</v>
      </c>
      <c r="F315" s="6">
        <f t="shared" si="29"/>
        <v>79402</v>
      </c>
    </row>
    <row r="316" spans="1:6" ht="15.75" thickBot="1" x14ac:dyDescent="0.3">
      <c r="A316" s="5"/>
      <c r="B316" s="5" t="s">
        <v>256</v>
      </c>
      <c r="C316" s="6">
        <v>0</v>
      </c>
      <c r="D316" s="6">
        <v>0</v>
      </c>
      <c r="E316" s="6">
        <v>180506</v>
      </c>
      <c r="F316" s="6">
        <f t="shared" si="29"/>
        <v>180506</v>
      </c>
    </row>
    <row r="317" spans="1:6" ht="15.75" thickBot="1" x14ac:dyDescent="0.3">
      <c r="A317" s="5"/>
      <c r="B317" s="5" t="s">
        <v>257</v>
      </c>
      <c r="C317" s="6">
        <v>0</v>
      </c>
      <c r="D317" s="6">
        <v>0</v>
      </c>
      <c r="E317" s="6">
        <v>18172</v>
      </c>
      <c r="F317" s="6">
        <f t="shared" si="29"/>
        <v>18172</v>
      </c>
    </row>
    <row r="318" spans="1:6" ht="15.75" thickBot="1" x14ac:dyDescent="0.3">
      <c r="A318" s="5"/>
      <c r="B318" s="5" t="s">
        <v>258</v>
      </c>
      <c r="C318" s="6">
        <v>0</v>
      </c>
      <c r="D318" s="6">
        <v>0</v>
      </c>
      <c r="E318" s="6">
        <v>16266</v>
      </c>
      <c r="F318" s="6">
        <f t="shared" si="29"/>
        <v>16266</v>
      </c>
    </row>
    <row r="319" spans="1:6" ht="15.75" thickBot="1" x14ac:dyDescent="0.3">
      <c r="A319" s="15">
        <v>2370</v>
      </c>
      <c r="B319" s="15" t="s">
        <v>259</v>
      </c>
      <c r="C319" s="24">
        <f>+C320+C336</f>
        <v>2422</v>
      </c>
      <c r="D319" s="24">
        <f t="shared" ref="D319:F319" si="33">+D320+D336</f>
        <v>2996064</v>
      </c>
      <c r="E319" s="24">
        <f t="shared" si="33"/>
        <v>4276308</v>
      </c>
      <c r="F319" s="24">
        <f t="shared" si="33"/>
        <v>1282666</v>
      </c>
    </row>
    <row r="320" spans="1:6" ht="15.75" thickBot="1" x14ac:dyDescent="0.3">
      <c r="A320" s="22">
        <v>237005</v>
      </c>
      <c r="B320" s="22" t="s">
        <v>260</v>
      </c>
      <c r="C320" s="29">
        <f>+SUM(C321:C335)</f>
        <v>1211</v>
      </c>
      <c r="D320" s="29">
        <f t="shared" ref="D320:E320" si="34">+SUM(D321:D335)</f>
        <v>1498032</v>
      </c>
      <c r="E320" s="29">
        <f t="shared" si="34"/>
        <v>2138154</v>
      </c>
      <c r="F320" s="29">
        <f>+C320+E320-D320</f>
        <v>641333</v>
      </c>
    </row>
    <row r="321" spans="1:6" ht="15.75" thickBot="1" x14ac:dyDescent="0.3">
      <c r="A321" s="5"/>
      <c r="B321" s="5" t="s">
        <v>261</v>
      </c>
      <c r="C321" s="6">
        <v>0</v>
      </c>
      <c r="D321" s="6">
        <v>256000</v>
      </c>
      <c r="E321" s="6">
        <v>296000</v>
      </c>
      <c r="F321" s="6">
        <f t="shared" si="29"/>
        <v>40000</v>
      </c>
    </row>
    <row r="322" spans="1:6" ht="15.75" thickBot="1" x14ac:dyDescent="0.3">
      <c r="A322" s="5"/>
      <c r="B322" s="5" t="s">
        <v>262</v>
      </c>
      <c r="C322" s="6">
        <v>0</v>
      </c>
      <c r="D322" s="6">
        <v>280000</v>
      </c>
      <c r="E322" s="6">
        <v>360000</v>
      </c>
      <c r="F322" s="6">
        <f t="shared" si="29"/>
        <v>80000</v>
      </c>
    </row>
    <row r="323" spans="1:6" ht="15.75" thickBot="1" x14ac:dyDescent="0.3">
      <c r="A323" s="5"/>
      <c r="B323" s="5" t="s">
        <v>263</v>
      </c>
      <c r="C323" s="6">
        <v>0</v>
      </c>
      <c r="D323" s="6">
        <v>256000</v>
      </c>
      <c r="E323" s="6">
        <v>336000</v>
      </c>
      <c r="F323" s="6">
        <f t="shared" si="29"/>
        <v>80000</v>
      </c>
    </row>
    <row r="324" spans="1:6" ht="15.75" thickBot="1" x14ac:dyDescent="0.3">
      <c r="A324" s="5"/>
      <c r="B324" s="5" t="s">
        <v>264</v>
      </c>
      <c r="C324" s="6">
        <v>0</v>
      </c>
      <c r="D324" s="6">
        <v>70666</v>
      </c>
      <c r="E324" s="6">
        <v>71999</v>
      </c>
      <c r="F324" s="6">
        <f t="shared" si="29"/>
        <v>1333</v>
      </c>
    </row>
    <row r="325" spans="1:6" ht="15.75" thickBot="1" x14ac:dyDescent="0.3">
      <c r="A325" s="5"/>
      <c r="B325" s="5" t="s">
        <v>223</v>
      </c>
      <c r="C325" s="6">
        <v>0</v>
      </c>
      <c r="D325" s="6">
        <v>0</v>
      </c>
      <c r="E325" s="6">
        <v>40000</v>
      </c>
      <c r="F325" s="6">
        <f t="shared" si="29"/>
        <v>40000</v>
      </c>
    </row>
    <row r="326" spans="1:6" ht="15.75" thickBot="1" x14ac:dyDescent="0.3">
      <c r="A326" s="5"/>
      <c r="B326" s="5" t="s">
        <v>265</v>
      </c>
      <c r="C326" s="6">
        <v>0</v>
      </c>
      <c r="D326" s="6">
        <v>0</v>
      </c>
      <c r="E326" s="6">
        <v>40000</v>
      </c>
      <c r="F326" s="6">
        <f t="shared" si="29"/>
        <v>40000</v>
      </c>
    </row>
    <row r="327" spans="1:6" ht="15.75" thickBot="1" x14ac:dyDescent="0.3">
      <c r="A327" s="5"/>
      <c r="B327" s="5" t="s">
        <v>266</v>
      </c>
      <c r="C327" s="6">
        <v>0</v>
      </c>
      <c r="D327" s="6">
        <v>0</v>
      </c>
      <c r="E327" s="6">
        <v>40000</v>
      </c>
      <c r="F327" s="6">
        <f t="shared" si="29"/>
        <v>40000</v>
      </c>
    </row>
    <row r="328" spans="1:6" ht="15.75" thickBot="1" x14ac:dyDescent="0.3">
      <c r="A328" s="5"/>
      <c r="B328" s="5" t="s">
        <v>267</v>
      </c>
      <c r="C328" s="6">
        <v>0</v>
      </c>
      <c r="D328" s="6">
        <v>280000</v>
      </c>
      <c r="E328" s="6">
        <v>360000</v>
      </c>
      <c r="F328" s="6">
        <f t="shared" si="29"/>
        <v>80000</v>
      </c>
    </row>
    <row r="329" spans="1:6" ht="15.75" thickBot="1" x14ac:dyDescent="0.3">
      <c r="A329" s="5"/>
      <c r="B329" s="5" t="s">
        <v>268</v>
      </c>
      <c r="C329" s="6">
        <v>0</v>
      </c>
      <c r="D329" s="6">
        <v>0</v>
      </c>
      <c r="E329" s="6">
        <v>40000</v>
      </c>
      <c r="F329" s="6">
        <f t="shared" si="29"/>
        <v>40000</v>
      </c>
    </row>
    <row r="330" spans="1:6" ht="15.75" thickBot="1" x14ac:dyDescent="0.3">
      <c r="A330" s="5"/>
      <c r="B330" s="5" t="s">
        <v>269</v>
      </c>
      <c r="C330" s="6">
        <v>0</v>
      </c>
      <c r="D330" s="6">
        <v>5333</v>
      </c>
      <c r="E330" s="6">
        <v>45333</v>
      </c>
      <c r="F330" s="6">
        <f t="shared" si="29"/>
        <v>40000</v>
      </c>
    </row>
    <row r="331" spans="1:6" ht="15.75" thickBot="1" x14ac:dyDescent="0.3">
      <c r="A331" s="5"/>
      <c r="B331" s="5" t="s">
        <v>270</v>
      </c>
      <c r="C331" s="6">
        <v>0</v>
      </c>
      <c r="D331" s="6">
        <v>1489</v>
      </c>
      <c r="E331" s="6">
        <v>1489</v>
      </c>
      <c r="F331" s="6">
        <f t="shared" si="29"/>
        <v>0</v>
      </c>
    </row>
    <row r="332" spans="1:6" ht="15.75" thickBot="1" x14ac:dyDescent="0.3">
      <c r="A332" s="5"/>
      <c r="B332" s="5" t="s">
        <v>271</v>
      </c>
      <c r="C332" s="6">
        <v>0</v>
      </c>
      <c r="D332" s="6">
        <v>0</v>
      </c>
      <c r="E332" s="6">
        <v>40000</v>
      </c>
      <c r="F332" s="6">
        <f t="shared" si="29"/>
        <v>40000</v>
      </c>
    </row>
    <row r="333" spans="1:6" ht="15.75" thickBot="1" x14ac:dyDescent="0.3">
      <c r="A333" s="5"/>
      <c r="B333" s="5" t="s">
        <v>272</v>
      </c>
      <c r="C333" s="6">
        <v>1211</v>
      </c>
      <c r="D333" s="6">
        <v>68544</v>
      </c>
      <c r="E333" s="6">
        <v>67333</v>
      </c>
      <c r="F333" s="6">
        <f>+C333+E333-D333</f>
        <v>0</v>
      </c>
    </row>
    <row r="334" spans="1:6" ht="15.75" thickBot="1" x14ac:dyDescent="0.3">
      <c r="A334" s="5"/>
      <c r="B334" s="5" t="s">
        <v>273</v>
      </c>
      <c r="C334" s="6">
        <v>0</v>
      </c>
      <c r="D334" s="6">
        <v>280000</v>
      </c>
      <c r="E334" s="6">
        <v>360000</v>
      </c>
      <c r="F334" s="6">
        <f t="shared" si="29"/>
        <v>80000</v>
      </c>
    </row>
    <row r="335" spans="1:6" ht="15.75" thickBot="1" x14ac:dyDescent="0.3">
      <c r="A335" s="5"/>
      <c r="B335" s="5" t="s">
        <v>274</v>
      </c>
      <c r="C335" s="6">
        <v>0</v>
      </c>
      <c r="D335" s="6">
        <v>0</v>
      </c>
      <c r="E335" s="6">
        <v>40000</v>
      </c>
      <c r="F335" s="6">
        <f t="shared" si="29"/>
        <v>40000</v>
      </c>
    </row>
    <row r="336" spans="1:6" ht="15.75" thickBot="1" x14ac:dyDescent="0.3">
      <c r="A336" s="22">
        <v>237045</v>
      </c>
      <c r="B336" s="22" t="s">
        <v>275</v>
      </c>
      <c r="C336" s="29">
        <f>+SUM(C337:C351)</f>
        <v>1211</v>
      </c>
      <c r="D336" s="29">
        <f t="shared" ref="D336:E336" si="35">+SUM(D337:D351)</f>
        <v>1498032</v>
      </c>
      <c r="E336" s="29">
        <f t="shared" si="35"/>
        <v>2138154</v>
      </c>
      <c r="F336" s="29">
        <f>+C336+E336-D336</f>
        <v>641333</v>
      </c>
    </row>
    <row r="337" spans="1:6" ht="15.75" thickBot="1" x14ac:dyDescent="0.3">
      <c r="A337" s="5"/>
      <c r="B337" s="5" t="s">
        <v>261</v>
      </c>
      <c r="C337" s="6">
        <v>0</v>
      </c>
      <c r="D337" s="6">
        <v>256000</v>
      </c>
      <c r="E337" s="6">
        <v>296000</v>
      </c>
      <c r="F337" s="6">
        <f t="shared" si="29"/>
        <v>40000</v>
      </c>
    </row>
    <row r="338" spans="1:6" ht="15.75" thickBot="1" x14ac:dyDescent="0.3">
      <c r="A338" s="5"/>
      <c r="B338" s="5" t="s">
        <v>262</v>
      </c>
      <c r="C338" s="6">
        <v>0</v>
      </c>
      <c r="D338" s="6">
        <v>280000</v>
      </c>
      <c r="E338" s="6">
        <v>360000</v>
      </c>
      <c r="F338" s="6">
        <f t="shared" si="29"/>
        <v>80000</v>
      </c>
    </row>
    <row r="339" spans="1:6" ht="15.75" thickBot="1" x14ac:dyDescent="0.3">
      <c r="A339" s="5"/>
      <c r="B339" s="5" t="s">
        <v>263</v>
      </c>
      <c r="C339" s="6">
        <v>0</v>
      </c>
      <c r="D339" s="6">
        <v>256000</v>
      </c>
      <c r="E339" s="6">
        <v>336000</v>
      </c>
      <c r="F339" s="6">
        <f t="shared" si="29"/>
        <v>80000</v>
      </c>
    </row>
    <row r="340" spans="1:6" ht="15.75" thickBot="1" x14ac:dyDescent="0.3">
      <c r="A340" s="5"/>
      <c r="B340" s="5" t="s">
        <v>264</v>
      </c>
      <c r="C340" s="6">
        <v>0</v>
      </c>
      <c r="D340" s="6">
        <v>70666</v>
      </c>
      <c r="E340" s="6">
        <v>71999</v>
      </c>
      <c r="F340" s="6">
        <f t="shared" si="29"/>
        <v>1333</v>
      </c>
    </row>
    <row r="341" spans="1:6" ht="15.75" thickBot="1" x14ac:dyDescent="0.3">
      <c r="A341" s="5"/>
      <c r="B341" s="5" t="s">
        <v>223</v>
      </c>
      <c r="C341" s="6">
        <v>0</v>
      </c>
      <c r="D341" s="6">
        <v>0</v>
      </c>
      <c r="E341" s="6">
        <v>40000</v>
      </c>
      <c r="F341" s="6">
        <f t="shared" si="29"/>
        <v>40000</v>
      </c>
    </row>
    <row r="342" spans="1:6" ht="15.75" thickBot="1" x14ac:dyDescent="0.3">
      <c r="A342" s="5"/>
      <c r="B342" s="5" t="s">
        <v>265</v>
      </c>
      <c r="C342" s="6">
        <v>0</v>
      </c>
      <c r="D342" s="6">
        <v>0</v>
      </c>
      <c r="E342" s="6">
        <v>40000</v>
      </c>
      <c r="F342" s="6">
        <f t="shared" si="29"/>
        <v>40000</v>
      </c>
    </row>
    <row r="343" spans="1:6" ht="15.75" thickBot="1" x14ac:dyDescent="0.3">
      <c r="A343" s="5"/>
      <c r="B343" s="5" t="s">
        <v>266</v>
      </c>
      <c r="C343" s="6">
        <v>0</v>
      </c>
      <c r="D343" s="6">
        <v>0</v>
      </c>
      <c r="E343" s="6">
        <v>40000</v>
      </c>
      <c r="F343" s="6">
        <f t="shared" si="29"/>
        <v>40000</v>
      </c>
    </row>
    <row r="344" spans="1:6" ht="15.75" thickBot="1" x14ac:dyDescent="0.3">
      <c r="A344" s="5"/>
      <c r="B344" s="5" t="s">
        <v>267</v>
      </c>
      <c r="C344" s="6">
        <v>0</v>
      </c>
      <c r="D344" s="6">
        <v>280000</v>
      </c>
      <c r="E344" s="6">
        <v>360000</v>
      </c>
      <c r="F344" s="6">
        <f t="shared" si="29"/>
        <v>80000</v>
      </c>
    </row>
    <row r="345" spans="1:6" ht="15.75" thickBot="1" x14ac:dyDescent="0.3">
      <c r="A345" s="5"/>
      <c r="B345" s="5" t="s">
        <v>268</v>
      </c>
      <c r="C345" s="6">
        <v>0</v>
      </c>
      <c r="D345" s="6">
        <v>0</v>
      </c>
      <c r="E345" s="6">
        <v>40000</v>
      </c>
      <c r="F345" s="6">
        <f t="shared" si="29"/>
        <v>40000</v>
      </c>
    </row>
    <row r="346" spans="1:6" ht="15.75" thickBot="1" x14ac:dyDescent="0.3">
      <c r="A346" s="5"/>
      <c r="B346" s="5" t="s">
        <v>269</v>
      </c>
      <c r="C346" s="6">
        <v>0</v>
      </c>
      <c r="D346" s="6">
        <v>5333</v>
      </c>
      <c r="E346" s="6">
        <v>45333</v>
      </c>
      <c r="F346" s="6">
        <f t="shared" si="29"/>
        <v>40000</v>
      </c>
    </row>
    <row r="347" spans="1:6" ht="15.75" thickBot="1" x14ac:dyDescent="0.3">
      <c r="A347" s="5"/>
      <c r="B347" s="5" t="s">
        <v>270</v>
      </c>
      <c r="C347" s="6">
        <v>0</v>
      </c>
      <c r="D347" s="6">
        <v>1489</v>
      </c>
      <c r="E347" s="6">
        <v>1489</v>
      </c>
      <c r="F347" s="6">
        <f t="shared" si="29"/>
        <v>0</v>
      </c>
    </row>
    <row r="348" spans="1:6" ht="15.75" thickBot="1" x14ac:dyDescent="0.3">
      <c r="A348" s="5"/>
      <c r="B348" s="5" t="s">
        <v>271</v>
      </c>
      <c r="C348" s="6">
        <v>0</v>
      </c>
      <c r="D348" s="6">
        <v>0</v>
      </c>
      <c r="E348" s="6">
        <v>40000</v>
      </c>
      <c r="F348" s="6">
        <f t="shared" si="29"/>
        <v>40000</v>
      </c>
    </row>
    <row r="349" spans="1:6" ht="15.75" thickBot="1" x14ac:dyDescent="0.3">
      <c r="A349" s="5"/>
      <c r="B349" s="5" t="s">
        <v>272</v>
      </c>
      <c r="C349" s="6">
        <v>1211</v>
      </c>
      <c r="D349" s="6">
        <v>68544</v>
      </c>
      <c r="E349" s="6">
        <v>67333</v>
      </c>
      <c r="F349" s="6">
        <f t="shared" si="29"/>
        <v>0</v>
      </c>
    </row>
    <row r="350" spans="1:6" ht="15.75" thickBot="1" x14ac:dyDescent="0.3">
      <c r="A350" s="5"/>
      <c r="B350" s="5" t="s">
        <v>273</v>
      </c>
      <c r="C350" s="6">
        <v>0</v>
      </c>
      <c r="D350" s="6">
        <v>280000</v>
      </c>
      <c r="E350" s="6">
        <v>360000</v>
      </c>
      <c r="F350" s="6">
        <f t="shared" ref="F350:F394" si="36">+C350+E350-D350</f>
        <v>80000</v>
      </c>
    </row>
    <row r="351" spans="1:6" ht="15.75" thickBot="1" x14ac:dyDescent="0.3">
      <c r="A351" s="5"/>
      <c r="B351" s="5" t="s">
        <v>274</v>
      </c>
      <c r="C351" s="6">
        <v>0</v>
      </c>
      <c r="D351" s="6">
        <v>0</v>
      </c>
      <c r="E351" s="6">
        <v>40000</v>
      </c>
      <c r="F351" s="6">
        <f t="shared" si="36"/>
        <v>40000</v>
      </c>
    </row>
    <row r="352" spans="1:6" ht="15.75" thickBot="1" x14ac:dyDescent="0.3">
      <c r="A352" s="4">
        <v>24</v>
      </c>
      <c r="B352" s="4" t="s">
        <v>276</v>
      </c>
      <c r="C352" s="3">
        <f>+C354+C378</f>
        <v>0</v>
      </c>
      <c r="D352" s="3">
        <f>+D354+D378</f>
        <v>85770800</v>
      </c>
      <c r="E352" s="3">
        <f>+E354+E378</f>
        <v>85376774</v>
      </c>
      <c r="F352" s="3">
        <f>+C352+E352-D352</f>
        <v>-394026</v>
      </c>
    </row>
    <row r="353" spans="1:6" ht="15.75" thickBot="1" x14ac:dyDescent="0.3">
      <c r="A353" s="15">
        <v>2408</v>
      </c>
      <c r="B353" s="15" t="s">
        <v>277</v>
      </c>
      <c r="C353" s="24">
        <f>+C354+C378</f>
        <v>0</v>
      </c>
      <c r="D353" s="24">
        <f>+D354+D378</f>
        <v>85770800</v>
      </c>
      <c r="E353" s="24">
        <f>+E354+E378</f>
        <v>85376774</v>
      </c>
      <c r="F353" s="24">
        <f>+C353+E353-D353</f>
        <v>-394026</v>
      </c>
    </row>
    <row r="354" spans="1:6" ht="15.75" thickBot="1" x14ac:dyDescent="0.3">
      <c r="A354" s="22">
        <v>240801</v>
      </c>
      <c r="B354" s="22" t="s">
        <v>277</v>
      </c>
      <c r="C354" s="29"/>
      <c r="D354" s="29">
        <f>+D355+D362+D377</f>
        <v>40873421</v>
      </c>
      <c r="E354" s="29">
        <f t="shared" ref="E354" si="37">+E355+E362+E377</f>
        <v>43838584</v>
      </c>
      <c r="F354" s="29">
        <f>+F355+F362+F377</f>
        <v>2965163</v>
      </c>
    </row>
    <row r="355" spans="1:6" ht="15.75" thickBot="1" x14ac:dyDescent="0.3">
      <c r="A355" s="31">
        <v>24080110</v>
      </c>
      <c r="B355" s="31" t="s">
        <v>278</v>
      </c>
      <c r="C355" s="32">
        <f>+SUM(C356:C361)</f>
        <v>0</v>
      </c>
      <c r="D355" s="32">
        <f>+SUM(D356:D361)</f>
        <v>3357621</v>
      </c>
      <c r="E355" s="32">
        <f>+SUM(E356:E361)</f>
        <v>3357621</v>
      </c>
      <c r="F355" s="32">
        <f>+SUM(F356:F361)</f>
        <v>0</v>
      </c>
    </row>
    <row r="356" spans="1:6" ht="15.75" thickBot="1" x14ac:dyDescent="0.3">
      <c r="A356" s="5"/>
      <c r="B356" s="5" t="s">
        <v>244</v>
      </c>
      <c r="C356" s="6">
        <v>0</v>
      </c>
      <c r="D356" s="6">
        <v>0</v>
      </c>
      <c r="E356" s="6">
        <v>181023</v>
      </c>
      <c r="F356" s="6">
        <f t="shared" si="36"/>
        <v>181023</v>
      </c>
    </row>
    <row r="357" spans="1:6" ht="15.75" thickBot="1" x14ac:dyDescent="0.3">
      <c r="A357" s="5"/>
      <c r="B357" s="5" t="s">
        <v>245</v>
      </c>
      <c r="C357" s="6">
        <v>0</v>
      </c>
      <c r="D357" s="6">
        <v>0</v>
      </c>
      <c r="E357" s="6">
        <v>1223296</v>
      </c>
      <c r="F357" s="6">
        <f t="shared" si="36"/>
        <v>1223296</v>
      </c>
    </row>
    <row r="358" spans="1:6" ht="15.75" thickBot="1" x14ac:dyDescent="0.3">
      <c r="A358" s="5"/>
      <c r="B358" s="5" t="s">
        <v>100</v>
      </c>
      <c r="C358" s="6">
        <v>0</v>
      </c>
      <c r="D358" s="6">
        <v>3357621</v>
      </c>
      <c r="E358" s="6">
        <v>0</v>
      </c>
      <c r="F358" s="6">
        <f t="shared" si="36"/>
        <v>-3357621</v>
      </c>
    </row>
    <row r="359" spans="1:6" ht="15.75" thickBot="1" x14ac:dyDescent="0.3">
      <c r="A359" s="5"/>
      <c r="B359" s="5" t="s">
        <v>250</v>
      </c>
      <c r="C359" s="6">
        <v>0</v>
      </c>
      <c r="D359" s="6">
        <v>0</v>
      </c>
      <c r="E359" s="6">
        <v>1045076</v>
      </c>
      <c r="F359" s="6">
        <f t="shared" si="36"/>
        <v>1045076</v>
      </c>
    </row>
    <row r="360" spans="1:6" ht="15.75" thickBot="1" x14ac:dyDescent="0.3">
      <c r="A360" s="5"/>
      <c r="B360" s="5" t="s">
        <v>251</v>
      </c>
      <c r="C360" s="6">
        <v>0</v>
      </c>
      <c r="D360" s="6">
        <v>0</v>
      </c>
      <c r="E360" s="6">
        <v>58422</v>
      </c>
      <c r="F360" s="6">
        <f t="shared" si="36"/>
        <v>58422</v>
      </c>
    </row>
    <row r="361" spans="1:6" ht="15.75" thickBot="1" x14ac:dyDescent="0.3">
      <c r="A361" s="5"/>
      <c r="B361" s="5" t="s">
        <v>256</v>
      </c>
      <c r="C361" s="6">
        <v>0</v>
      </c>
      <c r="D361" s="6">
        <v>0</v>
      </c>
      <c r="E361" s="6">
        <v>849804</v>
      </c>
      <c r="F361" s="6">
        <f t="shared" si="36"/>
        <v>849804</v>
      </c>
    </row>
    <row r="362" spans="1:6" ht="15.75" thickBot="1" x14ac:dyDescent="0.3">
      <c r="A362" s="31">
        <v>24080119</v>
      </c>
      <c r="B362" s="31" t="s">
        <v>279</v>
      </c>
      <c r="C362" s="32">
        <f>+SUM(C363:C368)</f>
        <v>0</v>
      </c>
      <c r="D362" s="32">
        <f>+SUM(D363:D376)</f>
        <v>37265287</v>
      </c>
      <c r="E362" s="32">
        <f>+SUM(E363:E376)</f>
        <v>40230450</v>
      </c>
      <c r="F362" s="32">
        <f>+SUM(F363:F376)</f>
        <v>2965163</v>
      </c>
    </row>
    <row r="363" spans="1:6" ht="15.75" thickBot="1" x14ac:dyDescent="0.3">
      <c r="A363" s="5"/>
      <c r="B363" s="5" t="s">
        <v>242</v>
      </c>
      <c r="C363" s="6">
        <v>0</v>
      </c>
      <c r="D363" s="6">
        <v>0</v>
      </c>
      <c r="E363" s="6">
        <v>673503</v>
      </c>
      <c r="F363" s="6">
        <f t="shared" si="36"/>
        <v>673503</v>
      </c>
    </row>
    <row r="364" spans="1:6" ht="15.75" thickBot="1" x14ac:dyDescent="0.3">
      <c r="A364" s="5"/>
      <c r="B364" s="5" t="s">
        <v>243</v>
      </c>
      <c r="C364" s="6">
        <v>0</v>
      </c>
      <c r="D364" s="6">
        <v>0</v>
      </c>
      <c r="E364" s="6">
        <v>742862</v>
      </c>
      <c r="F364" s="6">
        <f t="shared" si="36"/>
        <v>742862</v>
      </c>
    </row>
    <row r="365" spans="1:6" ht="15.75" thickBot="1" x14ac:dyDescent="0.3">
      <c r="A365" s="5"/>
      <c r="B365" s="5" t="s">
        <v>246</v>
      </c>
      <c r="C365" s="6">
        <v>0</v>
      </c>
      <c r="D365" s="6">
        <v>0</v>
      </c>
      <c r="E365" s="6">
        <v>120650</v>
      </c>
      <c r="F365" s="6">
        <f t="shared" si="36"/>
        <v>120650</v>
      </c>
    </row>
    <row r="366" spans="1:6" ht="15.75" thickBot="1" x14ac:dyDescent="0.3">
      <c r="A366" s="5"/>
      <c r="B366" s="5" t="s">
        <v>247</v>
      </c>
      <c r="C366" s="6">
        <v>0</v>
      </c>
      <c r="D366" s="6">
        <v>0</v>
      </c>
      <c r="E366" s="6">
        <v>57000</v>
      </c>
      <c r="F366" s="6">
        <f t="shared" si="36"/>
        <v>57000</v>
      </c>
    </row>
    <row r="367" spans="1:6" ht="15.75" thickBot="1" x14ac:dyDescent="0.3">
      <c r="A367" s="5"/>
      <c r="B367" s="5" t="s">
        <v>248</v>
      </c>
      <c r="C367" s="6">
        <v>0</v>
      </c>
      <c r="D367" s="6">
        <v>0</v>
      </c>
      <c r="E367" s="6">
        <v>28093720</v>
      </c>
      <c r="F367" s="6">
        <f t="shared" si="36"/>
        <v>28093720</v>
      </c>
    </row>
    <row r="368" spans="1:6" ht="15.75" thickBot="1" x14ac:dyDescent="0.3">
      <c r="A368" s="5"/>
      <c r="B368" s="5" t="s">
        <v>100</v>
      </c>
      <c r="C368" s="6">
        <v>0</v>
      </c>
      <c r="D368" s="6">
        <v>37265287</v>
      </c>
      <c r="E368" s="6">
        <v>0</v>
      </c>
      <c r="F368" s="6">
        <f t="shared" si="36"/>
        <v>-37265287</v>
      </c>
    </row>
    <row r="369" spans="1:6" ht="15.75" thickBot="1" x14ac:dyDescent="0.3">
      <c r="A369" s="5"/>
      <c r="B369" s="5" t="s">
        <v>249</v>
      </c>
      <c r="C369" s="6">
        <v>0</v>
      </c>
      <c r="D369" s="6">
        <v>0</v>
      </c>
      <c r="E369" s="6">
        <v>1425000</v>
      </c>
      <c r="F369" s="6">
        <f t="shared" si="36"/>
        <v>1425000</v>
      </c>
    </row>
    <row r="370" spans="1:6" ht="15.75" thickBot="1" x14ac:dyDescent="0.3">
      <c r="A370" s="5"/>
      <c r="B370" s="5" t="s">
        <v>252</v>
      </c>
      <c r="C370" s="6">
        <v>0</v>
      </c>
      <c r="D370" s="6">
        <v>0</v>
      </c>
      <c r="E370" s="6">
        <v>725420</v>
      </c>
      <c r="F370" s="6">
        <f t="shared" si="36"/>
        <v>725420</v>
      </c>
    </row>
    <row r="371" spans="1:6" ht="15.75" thickBot="1" x14ac:dyDescent="0.3">
      <c r="A371" s="5"/>
      <c r="B371" s="5" t="s">
        <v>253</v>
      </c>
      <c r="C371" s="6">
        <v>0</v>
      </c>
      <c r="D371" s="6">
        <v>0</v>
      </c>
      <c r="E371" s="6">
        <v>1287298</v>
      </c>
      <c r="F371" s="6">
        <f t="shared" si="36"/>
        <v>1287298</v>
      </c>
    </row>
    <row r="372" spans="1:6" ht="15.75" thickBot="1" x14ac:dyDescent="0.3">
      <c r="A372" s="5"/>
      <c r="B372" s="5" t="s">
        <v>254</v>
      </c>
      <c r="C372" s="6">
        <v>0</v>
      </c>
      <c r="D372" s="6">
        <v>0</v>
      </c>
      <c r="E372" s="6">
        <v>376200</v>
      </c>
      <c r="F372" s="6">
        <f t="shared" si="36"/>
        <v>376200</v>
      </c>
    </row>
    <row r="373" spans="1:6" ht="15.75" thickBot="1" x14ac:dyDescent="0.3">
      <c r="A373" s="5"/>
      <c r="B373" s="5" t="s">
        <v>255</v>
      </c>
      <c r="C373" s="6">
        <v>0</v>
      </c>
      <c r="D373" s="6">
        <v>0</v>
      </c>
      <c r="E373" s="6">
        <v>5017011</v>
      </c>
      <c r="F373" s="6">
        <f t="shared" si="36"/>
        <v>5017011</v>
      </c>
    </row>
    <row r="374" spans="1:6" ht="15.75" thickBot="1" x14ac:dyDescent="0.3">
      <c r="A374" s="5"/>
      <c r="B374" s="5" t="s">
        <v>256</v>
      </c>
      <c r="C374" s="6">
        <v>0</v>
      </c>
      <c r="D374" s="6">
        <v>0</v>
      </c>
      <c r="E374" s="6">
        <v>76000</v>
      </c>
      <c r="F374" s="6">
        <f t="shared" si="36"/>
        <v>76000</v>
      </c>
    </row>
    <row r="375" spans="1:6" ht="15.75" thickBot="1" x14ac:dyDescent="0.3">
      <c r="A375" s="5"/>
      <c r="B375" s="5" t="s">
        <v>257</v>
      </c>
      <c r="C375" s="6">
        <v>0</v>
      </c>
      <c r="D375" s="6">
        <v>0</v>
      </c>
      <c r="E375" s="6">
        <v>863170</v>
      </c>
      <c r="F375" s="27">
        <f>+C375+E375-D375</f>
        <v>863170</v>
      </c>
    </row>
    <row r="376" spans="1:6" ht="15.75" thickBot="1" x14ac:dyDescent="0.3">
      <c r="A376" s="5"/>
      <c r="B376" s="5" t="s">
        <v>258</v>
      </c>
      <c r="C376" s="6">
        <v>0</v>
      </c>
      <c r="D376" s="6">
        <v>0</v>
      </c>
      <c r="E376" s="6">
        <v>772616</v>
      </c>
      <c r="F376" s="27">
        <f t="shared" si="36"/>
        <v>772616</v>
      </c>
    </row>
    <row r="377" spans="1:6" ht="15.75" thickBot="1" x14ac:dyDescent="0.3">
      <c r="A377" s="31">
        <v>24080120</v>
      </c>
      <c r="B377" s="31" t="s">
        <v>280</v>
      </c>
      <c r="C377" s="32">
        <v>0</v>
      </c>
      <c r="D377" s="32">
        <v>250513</v>
      </c>
      <c r="E377" s="32">
        <v>250513</v>
      </c>
      <c r="F377" s="32">
        <f>+C377+E377-D377</f>
        <v>0</v>
      </c>
    </row>
    <row r="378" spans="1:6" ht="15.75" thickBot="1" x14ac:dyDescent="0.3">
      <c r="A378" s="22">
        <v>240802</v>
      </c>
      <c r="B378" s="22" t="s">
        <v>281</v>
      </c>
      <c r="C378" s="29"/>
      <c r="D378" s="29">
        <f>+D379+D395+D419+D423</f>
        <v>44897379</v>
      </c>
      <c r="E378" s="29">
        <f>+E379+E395+E419</f>
        <v>41538190</v>
      </c>
      <c r="F378" s="29">
        <f t="shared" si="36"/>
        <v>-3359189</v>
      </c>
    </row>
    <row r="379" spans="1:6" ht="15.75" thickBot="1" x14ac:dyDescent="0.3">
      <c r="A379" s="31">
        <v>24080221</v>
      </c>
      <c r="B379" s="31" t="s">
        <v>282</v>
      </c>
      <c r="C379" s="32">
        <f>+SUM(C380:C394)</f>
        <v>0</v>
      </c>
      <c r="D379" s="32">
        <f t="shared" ref="D379:F379" si="38">+SUM(D380:D394)</f>
        <v>28789312</v>
      </c>
      <c r="E379" s="32">
        <f>+SUM(E380:E394)</f>
        <v>27788396</v>
      </c>
      <c r="F379" s="32">
        <f t="shared" si="38"/>
        <v>-1000916</v>
      </c>
    </row>
    <row r="380" spans="1:6" ht="15.75" thickBot="1" x14ac:dyDescent="0.3">
      <c r="A380" s="5"/>
      <c r="B380" s="5" t="s">
        <v>82</v>
      </c>
      <c r="C380" s="6">
        <v>0</v>
      </c>
      <c r="D380" s="6">
        <v>4902848</v>
      </c>
      <c r="E380" s="6">
        <v>0</v>
      </c>
      <c r="F380" s="27">
        <f t="shared" si="36"/>
        <v>-4902848</v>
      </c>
    </row>
    <row r="381" spans="1:6" ht="15.75" thickBot="1" x14ac:dyDescent="0.3">
      <c r="A381" s="5"/>
      <c r="B381" s="5" t="s">
        <v>207</v>
      </c>
      <c r="C381" s="6">
        <v>0</v>
      </c>
      <c r="D381" s="6">
        <v>48666</v>
      </c>
      <c r="E381" s="6">
        <v>0</v>
      </c>
      <c r="F381" s="27">
        <f t="shared" si="36"/>
        <v>-48666</v>
      </c>
    </row>
    <row r="382" spans="1:6" ht="15.75" thickBot="1" x14ac:dyDescent="0.3">
      <c r="A382" s="5"/>
      <c r="B382" s="5" t="s">
        <v>88</v>
      </c>
      <c r="C382" s="6">
        <v>0</v>
      </c>
      <c r="D382" s="6">
        <v>48633</v>
      </c>
      <c r="E382" s="6">
        <v>0</v>
      </c>
      <c r="F382" s="27">
        <f t="shared" si="36"/>
        <v>-48633</v>
      </c>
    </row>
    <row r="383" spans="1:6" ht="15.75" thickBot="1" x14ac:dyDescent="0.3">
      <c r="A383" s="5"/>
      <c r="B383" s="5" t="s">
        <v>283</v>
      </c>
      <c r="C383" s="6">
        <v>0</v>
      </c>
      <c r="D383" s="6">
        <v>19950</v>
      </c>
      <c r="E383" s="6">
        <v>0</v>
      </c>
      <c r="F383" s="27">
        <f t="shared" si="36"/>
        <v>-19950</v>
      </c>
    </row>
    <row r="384" spans="1:6" ht="15.75" thickBot="1" x14ac:dyDescent="0.3">
      <c r="A384" s="5"/>
      <c r="B384" s="5" t="s">
        <v>196</v>
      </c>
      <c r="C384" s="6">
        <v>0</v>
      </c>
      <c r="D384" s="6">
        <v>30336</v>
      </c>
      <c r="E384" s="6">
        <v>0</v>
      </c>
      <c r="F384" s="27">
        <f t="shared" si="36"/>
        <v>-30336</v>
      </c>
    </row>
    <row r="385" spans="1:6" ht="15.75" thickBot="1" x14ac:dyDescent="0.3">
      <c r="A385" s="5"/>
      <c r="B385" s="5" t="s">
        <v>100</v>
      </c>
      <c r="C385" s="6">
        <v>0</v>
      </c>
      <c r="D385" s="6">
        <v>0</v>
      </c>
      <c r="E385" s="6">
        <v>27788396</v>
      </c>
      <c r="F385" s="27">
        <f t="shared" si="36"/>
        <v>27788396</v>
      </c>
    </row>
    <row r="386" spans="1:6" ht="15.75" thickBot="1" x14ac:dyDescent="0.3">
      <c r="A386" s="5"/>
      <c r="B386" s="5" t="s">
        <v>102</v>
      </c>
      <c r="C386" s="6">
        <v>0</v>
      </c>
      <c r="D386" s="6">
        <v>2091900</v>
      </c>
      <c r="E386" s="6">
        <v>0</v>
      </c>
      <c r="F386" s="27">
        <f t="shared" si="36"/>
        <v>-2091900</v>
      </c>
    </row>
    <row r="387" spans="1:6" ht="15.75" thickBot="1" x14ac:dyDescent="0.3">
      <c r="A387" s="5"/>
      <c r="B387" s="5" t="s">
        <v>120</v>
      </c>
      <c r="C387" s="6">
        <v>0</v>
      </c>
      <c r="D387" s="6">
        <v>16869111</v>
      </c>
      <c r="E387" s="6">
        <v>0</v>
      </c>
      <c r="F387" s="27">
        <f t="shared" si="36"/>
        <v>-16869111</v>
      </c>
    </row>
    <row r="388" spans="1:6" ht="15.75" thickBot="1" x14ac:dyDescent="0.3">
      <c r="A388" s="5"/>
      <c r="B388" s="5" t="s">
        <v>221</v>
      </c>
      <c r="C388" s="6">
        <v>0</v>
      </c>
      <c r="D388" s="6">
        <v>5828</v>
      </c>
      <c r="E388" s="6">
        <v>0</v>
      </c>
      <c r="F388" s="27">
        <f t="shared" si="36"/>
        <v>-5828</v>
      </c>
    </row>
    <row r="389" spans="1:6" ht="15.75" thickBot="1" x14ac:dyDescent="0.3">
      <c r="A389" s="5"/>
      <c r="B389" s="5" t="s">
        <v>132</v>
      </c>
      <c r="C389" s="6">
        <v>0</v>
      </c>
      <c r="D389" s="6">
        <v>9337</v>
      </c>
      <c r="E389" s="6">
        <v>0</v>
      </c>
      <c r="F389" s="27">
        <f t="shared" si="36"/>
        <v>-9337</v>
      </c>
    </row>
    <row r="390" spans="1:6" ht="15.75" thickBot="1" x14ac:dyDescent="0.3">
      <c r="A390" s="5"/>
      <c r="B390" s="5" t="s">
        <v>133</v>
      </c>
      <c r="C390" s="6">
        <v>0</v>
      </c>
      <c r="D390" s="6">
        <v>16014</v>
      </c>
      <c r="E390" s="6">
        <v>0</v>
      </c>
      <c r="F390" s="27">
        <f t="shared" si="36"/>
        <v>-16014</v>
      </c>
    </row>
    <row r="391" spans="1:6" ht="15.75" thickBot="1" x14ac:dyDescent="0.3">
      <c r="A391" s="5"/>
      <c r="B391" s="5" t="s">
        <v>141</v>
      </c>
      <c r="C391" s="6">
        <v>0</v>
      </c>
      <c r="D391" s="6">
        <v>233818</v>
      </c>
      <c r="E391" s="6">
        <v>0</v>
      </c>
      <c r="F391" s="27">
        <f t="shared" si="36"/>
        <v>-233818</v>
      </c>
    </row>
    <row r="392" spans="1:6" ht="15.75" thickBot="1" x14ac:dyDescent="0.3">
      <c r="A392" s="5"/>
      <c r="B392" s="5" t="s">
        <v>151</v>
      </c>
      <c r="C392" s="6">
        <v>0</v>
      </c>
      <c r="D392" s="6">
        <v>3971705</v>
      </c>
      <c r="E392" s="6">
        <v>0</v>
      </c>
      <c r="F392" s="27">
        <f t="shared" si="36"/>
        <v>-3971705</v>
      </c>
    </row>
    <row r="393" spans="1:6" ht="15.75" thickBot="1" x14ac:dyDescent="0.3">
      <c r="A393" s="5"/>
      <c r="B393" s="5" t="s">
        <v>201</v>
      </c>
      <c r="C393" s="6">
        <v>0</v>
      </c>
      <c r="D393" s="6">
        <v>72504</v>
      </c>
      <c r="E393" s="6">
        <v>0</v>
      </c>
      <c r="F393" s="27">
        <f t="shared" si="36"/>
        <v>-72504</v>
      </c>
    </row>
    <row r="394" spans="1:6" ht="15.75" thickBot="1" x14ac:dyDescent="0.3">
      <c r="A394" s="5"/>
      <c r="B394" s="5" t="s">
        <v>165</v>
      </c>
      <c r="C394" s="6">
        <v>0</v>
      </c>
      <c r="D394" s="6">
        <v>468662</v>
      </c>
      <c r="E394" s="6">
        <v>0</v>
      </c>
      <c r="F394" s="27">
        <f t="shared" si="36"/>
        <v>-468662</v>
      </c>
    </row>
    <row r="395" spans="1:6" ht="15.75" thickBot="1" x14ac:dyDescent="0.3">
      <c r="A395" s="31">
        <v>24080222</v>
      </c>
      <c r="B395" s="31" t="s">
        <v>284</v>
      </c>
      <c r="C395" s="32">
        <f>+SUM(C396:C418)</f>
        <v>0</v>
      </c>
      <c r="D395" s="32">
        <f>+SUM(D396:D418)</f>
        <v>14684897</v>
      </c>
      <c r="E395" s="32">
        <f t="shared" ref="E395:F395" si="39">+SUM(E396:E418)</f>
        <v>12383732</v>
      </c>
      <c r="F395" s="32">
        <f t="shared" si="39"/>
        <v>-2301165</v>
      </c>
    </row>
    <row r="396" spans="1:6" ht="15.75" thickBot="1" x14ac:dyDescent="0.3">
      <c r="A396" s="5"/>
      <c r="B396" s="5" t="s">
        <v>82</v>
      </c>
      <c r="C396" s="6">
        <v>0</v>
      </c>
      <c r="D396" s="6">
        <v>8002672</v>
      </c>
      <c r="E396" s="6">
        <v>0</v>
      </c>
      <c r="F396" s="27">
        <v>-8002672</v>
      </c>
    </row>
    <row r="397" spans="1:6" ht="15.75" thickBot="1" x14ac:dyDescent="0.3">
      <c r="A397" s="5"/>
      <c r="B397" s="5" t="s">
        <v>210</v>
      </c>
      <c r="C397" s="6">
        <v>0</v>
      </c>
      <c r="D397" s="6">
        <v>61600</v>
      </c>
      <c r="E397" s="6">
        <v>0</v>
      </c>
      <c r="F397" s="27">
        <v>-61600</v>
      </c>
    </row>
    <row r="398" spans="1:6" ht="15.75" thickBot="1" x14ac:dyDescent="0.3">
      <c r="A398" s="5"/>
      <c r="B398" s="5" t="s">
        <v>211</v>
      </c>
      <c r="C398" s="6">
        <v>0</v>
      </c>
      <c r="D398" s="6">
        <v>64974</v>
      </c>
      <c r="E398" s="6">
        <v>0</v>
      </c>
      <c r="F398" s="27">
        <v>-64974</v>
      </c>
    </row>
    <row r="399" spans="1:6" ht="15.75" thickBot="1" x14ac:dyDescent="0.3">
      <c r="A399" s="5"/>
      <c r="B399" s="5" t="s">
        <v>88</v>
      </c>
      <c r="C399" s="6">
        <v>0</v>
      </c>
      <c r="D399" s="6">
        <v>1054622</v>
      </c>
      <c r="E399" s="6">
        <v>0</v>
      </c>
      <c r="F399" s="27">
        <v>-1054622</v>
      </c>
    </row>
    <row r="400" spans="1:6" ht="15.75" thickBot="1" x14ac:dyDescent="0.3">
      <c r="A400" s="5"/>
      <c r="B400" s="5" t="s">
        <v>195</v>
      </c>
      <c r="C400" s="6">
        <v>0</v>
      </c>
      <c r="D400" s="6">
        <v>15567</v>
      </c>
      <c r="E400" s="6">
        <v>0</v>
      </c>
      <c r="F400" s="27">
        <v>-15567</v>
      </c>
    </row>
    <row r="401" spans="1:6" ht="15.75" thickBot="1" x14ac:dyDescent="0.3">
      <c r="A401" s="5"/>
      <c r="B401" s="5" t="s">
        <v>283</v>
      </c>
      <c r="C401" s="6">
        <v>0</v>
      </c>
      <c r="D401" s="6">
        <v>63937</v>
      </c>
      <c r="E401" s="6">
        <v>0</v>
      </c>
      <c r="F401" s="27">
        <v>-63937</v>
      </c>
    </row>
    <row r="402" spans="1:6" ht="15.75" thickBot="1" x14ac:dyDescent="0.3">
      <c r="A402" s="5"/>
      <c r="B402" s="5" t="s">
        <v>196</v>
      </c>
      <c r="C402" s="6">
        <v>0</v>
      </c>
      <c r="D402" s="6">
        <v>47101</v>
      </c>
      <c r="E402" s="6">
        <v>0</v>
      </c>
      <c r="F402" s="27">
        <v>-47101</v>
      </c>
    </row>
    <row r="403" spans="1:6" ht="15.75" thickBot="1" x14ac:dyDescent="0.3">
      <c r="A403" s="5"/>
      <c r="B403" s="5" t="s">
        <v>100</v>
      </c>
      <c r="C403" s="6">
        <v>0</v>
      </c>
      <c r="D403" s="6">
        <v>0</v>
      </c>
      <c r="E403" s="6">
        <v>12383732</v>
      </c>
      <c r="F403" s="27">
        <v>12383732</v>
      </c>
    </row>
    <row r="404" spans="1:6" ht="15.75" thickBot="1" x14ac:dyDescent="0.3">
      <c r="A404" s="5"/>
      <c r="B404" s="5" t="s">
        <v>105</v>
      </c>
      <c r="C404" s="6">
        <v>0</v>
      </c>
      <c r="D404" s="6">
        <v>51680</v>
      </c>
      <c r="E404" s="6">
        <v>0</v>
      </c>
      <c r="F404" s="27">
        <v>-51680</v>
      </c>
    </row>
    <row r="405" spans="1:6" ht="15.75" thickBot="1" x14ac:dyDescent="0.3">
      <c r="A405" s="5"/>
      <c r="B405" s="5" t="s">
        <v>120</v>
      </c>
      <c r="C405" s="6">
        <v>0</v>
      </c>
      <c r="D405" s="6">
        <v>288824</v>
      </c>
      <c r="E405" s="6">
        <v>0</v>
      </c>
      <c r="F405" s="27">
        <v>-288824</v>
      </c>
    </row>
    <row r="406" spans="1:6" ht="15.75" thickBot="1" x14ac:dyDescent="0.3">
      <c r="A406" s="5"/>
      <c r="B406" s="5" t="s">
        <v>125</v>
      </c>
      <c r="C406" s="6">
        <v>0</v>
      </c>
      <c r="D406" s="6">
        <v>25929</v>
      </c>
      <c r="E406" s="6">
        <v>0</v>
      </c>
      <c r="F406" s="27">
        <v>-25929</v>
      </c>
    </row>
    <row r="407" spans="1:6" ht="15.75" thickBot="1" x14ac:dyDescent="0.3">
      <c r="A407" s="5"/>
      <c r="B407" s="5" t="s">
        <v>212</v>
      </c>
      <c r="C407" s="6">
        <v>0</v>
      </c>
      <c r="D407" s="6">
        <v>71260</v>
      </c>
      <c r="E407" s="6">
        <v>0</v>
      </c>
      <c r="F407" s="27">
        <v>-71260</v>
      </c>
    </row>
    <row r="408" spans="1:6" ht="15.75" thickBot="1" x14ac:dyDescent="0.3">
      <c r="A408" s="5"/>
      <c r="B408" s="5" t="s">
        <v>132</v>
      </c>
      <c r="C408" s="6">
        <v>0</v>
      </c>
      <c r="D408" s="6">
        <v>47852</v>
      </c>
      <c r="E408" s="6">
        <v>0</v>
      </c>
      <c r="F408" s="27">
        <v>-47852</v>
      </c>
    </row>
    <row r="409" spans="1:6" ht="15.75" thickBot="1" x14ac:dyDescent="0.3">
      <c r="A409" s="5"/>
      <c r="B409" s="5" t="s">
        <v>134</v>
      </c>
      <c r="C409" s="6">
        <v>0</v>
      </c>
      <c r="D409" s="6">
        <v>4135</v>
      </c>
      <c r="E409" s="6">
        <v>0</v>
      </c>
      <c r="F409" s="27">
        <v>-4135</v>
      </c>
    </row>
    <row r="410" spans="1:6" ht="15.75" thickBot="1" x14ac:dyDescent="0.3">
      <c r="A410" s="5"/>
      <c r="B410" s="5" t="s">
        <v>197</v>
      </c>
      <c r="C410" s="6">
        <v>0</v>
      </c>
      <c r="D410" s="6">
        <v>273982</v>
      </c>
      <c r="E410" s="6">
        <v>0</v>
      </c>
      <c r="F410" s="27">
        <v>-273982</v>
      </c>
    </row>
    <row r="411" spans="1:6" ht="15.75" thickBot="1" x14ac:dyDescent="0.3">
      <c r="A411" s="5"/>
      <c r="B411" s="5" t="s">
        <v>198</v>
      </c>
      <c r="C411" s="6">
        <v>0</v>
      </c>
      <c r="D411" s="6">
        <v>105961</v>
      </c>
      <c r="E411" s="6">
        <v>0</v>
      </c>
      <c r="F411" s="27">
        <v>-105961</v>
      </c>
    </row>
    <row r="412" spans="1:6" ht="15.75" thickBot="1" x14ac:dyDescent="0.3">
      <c r="A412" s="5"/>
      <c r="B412" s="5" t="s">
        <v>199</v>
      </c>
      <c r="C412" s="6">
        <v>0</v>
      </c>
      <c r="D412" s="6">
        <v>14204</v>
      </c>
      <c r="E412" s="6">
        <v>0</v>
      </c>
      <c r="F412" s="27">
        <v>-14204</v>
      </c>
    </row>
    <row r="413" spans="1:6" ht="15.75" thickBot="1" x14ac:dyDescent="0.3">
      <c r="A413" s="5"/>
      <c r="B413" s="5" t="s">
        <v>151</v>
      </c>
      <c r="C413" s="6">
        <v>0</v>
      </c>
      <c r="D413" s="6">
        <v>80750</v>
      </c>
      <c r="E413" s="6">
        <v>0</v>
      </c>
      <c r="F413" s="27">
        <v>-80750</v>
      </c>
    </row>
    <row r="414" spans="1:6" ht="15.75" thickBot="1" x14ac:dyDescent="0.3">
      <c r="A414" s="5"/>
      <c r="B414" s="5" t="s">
        <v>200</v>
      </c>
      <c r="C414" s="6">
        <v>0</v>
      </c>
      <c r="D414" s="6">
        <v>11592</v>
      </c>
      <c r="E414" s="6">
        <v>0</v>
      </c>
      <c r="F414" s="27">
        <v>-11592</v>
      </c>
    </row>
    <row r="415" spans="1:6" ht="15.75" thickBot="1" x14ac:dyDescent="0.3">
      <c r="A415" s="5"/>
      <c r="B415" s="5" t="s">
        <v>154</v>
      </c>
      <c r="C415" s="6">
        <v>0</v>
      </c>
      <c r="D415" s="6">
        <v>950874</v>
      </c>
      <c r="E415" s="6">
        <v>0</v>
      </c>
      <c r="F415" s="27">
        <v>-950874</v>
      </c>
    </row>
    <row r="416" spans="1:6" ht="15.75" thickBot="1" x14ac:dyDescent="0.3">
      <c r="A416" s="5"/>
      <c r="B416" s="5" t="s">
        <v>202</v>
      </c>
      <c r="C416" s="6">
        <v>0</v>
      </c>
      <c r="D416" s="6">
        <v>137077</v>
      </c>
      <c r="E416" s="6">
        <v>0</v>
      </c>
      <c r="F416" s="27">
        <v>-137077</v>
      </c>
    </row>
    <row r="417" spans="1:6" ht="15.75" thickBot="1" x14ac:dyDescent="0.3">
      <c r="A417" s="5"/>
      <c r="B417" s="5" t="s">
        <v>164</v>
      </c>
      <c r="C417" s="6">
        <v>0</v>
      </c>
      <c r="D417" s="6">
        <v>609677</v>
      </c>
      <c r="E417" s="6">
        <v>0</v>
      </c>
      <c r="F417" s="27">
        <v>-609677</v>
      </c>
    </row>
    <row r="418" spans="1:6" ht="15.75" thickBot="1" x14ac:dyDescent="0.3">
      <c r="A418" s="5"/>
      <c r="B418" s="5" t="s">
        <v>165</v>
      </c>
      <c r="C418" s="6">
        <v>0</v>
      </c>
      <c r="D418" s="6">
        <v>2700627</v>
      </c>
      <c r="E418" s="6">
        <v>0</v>
      </c>
      <c r="F418" s="27">
        <v>-2700627</v>
      </c>
    </row>
    <row r="419" spans="1:6" ht="15.75" thickBot="1" x14ac:dyDescent="0.3">
      <c r="A419" s="31">
        <v>24080224</v>
      </c>
      <c r="B419" s="31" t="s">
        <v>285</v>
      </c>
      <c r="C419" s="32">
        <f>+SUM(C420:C422)</f>
        <v>0</v>
      </c>
      <c r="D419" s="32">
        <f t="shared" ref="D419:F419" si="40">+SUM(D420:D422)</f>
        <v>1366062</v>
      </c>
      <c r="E419" s="32">
        <f t="shared" si="40"/>
        <v>1366062</v>
      </c>
      <c r="F419" s="32">
        <f t="shared" si="40"/>
        <v>0</v>
      </c>
    </row>
    <row r="420" spans="1:6" ht="15.75" thickBot="1" x14ac:dyDescent="0.3">
      <c r="A420" s="5"/>
      <c r="B420" s="5" t="s">
        <v>246</v>
      </c>
      <c r="C420" s="6">
        <v>0</v>
      </c>
      <c r="D420" s="6">
        <v>120650</v>
      </c>
      <c r="E420" s="6">
        <v>0</v>
      </c>
      <c r="F420" s="27">
        <v>-120650</v>
      </c>
    </row>
    <row r="421" spans="1:6" ht="15.75" thickBot="1" x14ac:dyDescent="0.3">
      <c r="A421" s="5"/>
      <c r="B421" s="5" t="s">
        <v>100</v>
      </c>
      <c r="C421" s="6">
        <v>0</v>
      </c>
      <c r="D421" s="6">
        <v>0</v>
      </c>
      <c r="E421" s="6">
        <v>1366062</v>
      </c>
      <c r="F421" s="27">
        <v>1366062</v>
      </c>
    </row>
    <row r="422" spans="1:6" ht="15.75" thickBot="1" x14ac:dyDescent="0.3">
      <c r="A422" s="5"/>
      <c r="B422" s="5" t="s">
        <v>255</v>
      </c>
      <c r="C422" s="6">
        <v>0</v>
      </c>
      <c r="D422" s="6">
        <v>1245412</v>
      </c>
      <c r="E422" s="6">
        <v>0</v>
      </c>
      <c r="F422" s="27">
        <v>-1245412</v>
      </c>
    </row>
    <row r="423" spans="1:6" ht="15.75" thickBot="1" x14ac:dyDescent="0.3">
      <c r="A423" s="31">
        <v>24080226</v>
      </c>
      <c r="B423" s="31" t="s">
        <v>286</v>
      </c>
      <c r="C423" s="32">
        <f>+SUM(C424:C426)</f>
        <v>0</v>
      </c>
      <c r="D423" s="32">
        <f t="shared" ref="D423:F423" si="41">+SUM(D424:D426)</f>
        <v>57108</v>
      </c>
      <c r="E423" s="32">
        <f t="shared" si="41"/>
        <v>0</v>
      </c>
      <c r="F423" s="32">
        <f t="shared" si="41"/>
        <v>-57108</v>
      </c>
    </row>
    <row r="424" spans="1:6" ht="15.75" thickBot="1" x14ac:dyDescent="0.3">
      <c r="A424" s="5"/>
      <c r="B424" s="5" t="s">
        <v>82</v>
      </c>
      <c r="C424" s="6">
        <v>0</v>
      </c>
      <c r="D424" s="6">
        <v>44336</v>
      </c>
      <c r="E424" s="6">
        <v>0</v>
      </c>
      <c r="F424" s="27">
        <f t="shared" ref="F424:F490" si="42">+C424+E424-D424</f>
        <v>-44336</v>
      </c>
    </row>
    <row r="425" spans="1:6" ht="15.75" thickBot="1" x14ac:dyDescent="0.3">
      <c r="A425" s="5"/>
      <c r="B425" s="5" t="s">
        <v>132</v>
      </c>
      <c r="C425" s="6">
        <v>0</v>
      </c>
      <c r="D425" s="6">
        <v>3372</v>
      </c>
      <c r="E425" s="6">
        <v>0</v>
      </c>
      <c r="F425" s="6">
        <f t="shared" si="42"/>
        <v>-3372</v>
      </c>
    </row>
    <row r="426" spans="1:6" ht="15.75" thickBot="1" x14ac:dyDescent="0.3">
      <c r="A426" s="5"/>
      <c r="B426" s="5" t="s">
        <v>165</v>
      </c>
      <c r="C426" s="6">
        <v>0</v>
      </c>
      <c r="D426" s="6">
        <v>9400</v>
      </c>
      <c r="E426" s="6">
        <v>0</v>
      </c>
      <c r="F426" s="6">
        <f t="shared" si="42"/>
        <v>-9400</v>
      </c>
    </row>
    <row r="427" spans="1:6" ht="15.75" thickBot="1" x14ac:dyDescent="0.3">
      <c r="A427" s="4">
        <v>25</v>
      </c>
      <c r="B427" s="4" t="s">
        <v>287</v>
      </c>
      <c r="C427" s="3">
        <f>+C429+C446+C467+C487+C508</f>
        <v>6567832</v>
      </c>
      <c r="D427" s="3">
        <f>+D429</f>
        <v>52885686</v>
      </c>
      <c r="E427" s="3">
        <f>+E429+E446+E467+E487+E508</f>
        <v>64478041</v>
      </c>
      <c r="F427" s="3">
        <f t="shared" si="42"/>
        <v>18160187</v>
      </c>
    </row>
    <row r="428" spans="1:6" s="7" customFormat="1" ht="15.75" thickBot="1" x14ac:dyDescent="0.3">
      <c r="A428" s="15">
        <v>2505</v>
      </c>
      <c r="B428" s="15" t="s">
        <v>288</v>
      </c>
      <c r="C428" s="24">
        <f>+C429</f>
        <v>1137500</v>
      </c>
      <c r="D428" s="24">
        <f t="shared" ref="D428:F428" si="43">+D429</f>
        <v>52885686</v>
      </c>
      <c r="E428" s="24">
        <f t="shared" si="43"/>
        <v>52885686</v>
      </c>
      <c r="F428" s="24">
        <f t="shared" si="43"/>
        <v>1137500</v>
      </c>
    </row>
    <row r="429" spans="1:6" ht="15.75" thickBot="1" x14ac:dyDescent="0.3">
      <c r="A429" s="22">
        <v>250501</v>
      </c>
      <c r="B429" s="22" t="s">
        <v>288</v>
      </c>
      <c r="C429" s="29">
        <f>+SUM(C430:C444)</f>
        <v>1137500</v>
      </c>
      <c r="D429" s="29">
        <f t="shared" ref="D429:F429" si="44">+SUM(D430:D444)</f>
        <v>52885686</v>
      </c>
      <c r="E429" s="29">
        <f t="shared" si="44"/>
        <v>52885686</v>
      </c>
      <c r="F429" s="29">
        <f t="shared" si="44"/>
        <v>1137500</v>
      </c>
    </row>
    <row r="430" spans="1:6" ht="15.75" thickBot="1" x14ac:dyDescent="0.3">
      <c r="A430" s="5">
        <v>250501</v>
      </c>
      <c r="B430" s="5" t="s">
        <v>261</v>
      </c>
      <c r="C430" s="6">
        <v>0</v>
      </c>
      <c r="D430" s="6">
        <v>7675073</v>
      </c>
      <c r="E430" s="6">
        <v>7675073</v>
      </c>
      <c r="F430" s="6">
        <f>+C430+E430-D430</f>
        <v>0</v>
      </c>
    </row>
    <row r="431" spans="1:6" ht="15.75" thickBot="1" x14ac:dyDescent="0.3">
      <c r="A431" s="5">
        <v>250501</v>
      </c>
      <c r="B431" s="5" t="s">
        <v>262</v>
      </c>
      <c r="C431" s="6">
        <v>1137500</v>
      </c>
      <c r="D431" s="6">
        <v>9334548</v>
      </c>
      <c r="E431" s="6">
        <v>9334548</v>
      </c>
      <c r="F431" s="6">
        <f>+C431+E431-D431</f>
        <v>1137500</v>
      </c>
    </row>
    <row r="432" spans="1:6" ht="15.75" thickBot="1" x14ac:dyDescent="0.3">
      <c r="A432" s="5">
        <v>250501</v>
      </c>
      <c r="B432" s="5" t="s">
        <v>263</v>
      </c>
      <c r="C432" s="6">
        <v>0</v>
      </c>
      <c r="D432" s="6">
        <v>8712245</v>
      </c>
      <c r="E432" s="6">
        <v>8712245</v>
      </c>
      <c r="F432" s="6">
        <f>+C432+E432-D432</f>
        <v>0</v>
      </c>
    </row>
    <row r="433" spans="1:6" ht="15.75" thickBot="1" x14ac:dyDescent="0.3">
      <c r="A433" s="5">
        <v>250501</v>
      </c>
      <c r="B433" s="5" t="s">
        <v>264</v>
      </c>
      <c r="C433" s="6">
        <v>0</v>
      </c>
      <c r="D433" s="6">
        <v>1866903</v>
      </c>
      <c r="E433" s="6">
        <v>1866903</v>
      </c>
      <c r="F433" s="6">
        <f t="shared" si="42"/>
        <v>0</v>
      </c>
    </row>
    <row r="434" spans="1:6" ht="15.75" thickBot="1" x14ac:dyDescent="0.3">
      <c r="A434" s="5">
        <v>250501</v>
      </c>
      <c r="B434" s="5" t="s">
        <v>223</v>
      </c>
      <c r="C434" s="6">
        <v>0</v>
      </c>
      <c r="D434" s="6">
        <v>1037172</v>
      </c>
      <c r="E434" s="6">
        <v>1037172</v>
      </c>
      <c r="F434" s="6">
        <f t="shared" si="42"/>
        <v>0</v>
      </c>
    </row>
    <row r="435" spans="1:6" ht="15.75" thickBot="1" x14ac:dyDescent="0.3">
      <c r="A435" s="5">
        <v>250501</v>
      </c>
      <c r="B435" s="5" t="s">
        <v>265</v>
      </c>
      <c r="C435" s="6">
        <v>0</v>
      </c>
      <c r="D435" s="6">
        <v>627542</v>
      </c>
      <c r="E435" s="6">
        <v>627542</v>
      </c>
      <c r="F435" s="6">
        <f t="shared" si="42"/>
        <v>0</v>
      </c>
    </row>
    <row r="436" spans="1:6" ht="15.75" thickBot="1" x14ac:dyDescent="0.3">
      <c r="A436" s="5">
        <v>250501</v>
      </c>
      <c r="B436" s="5" t="s">
        <v>266</v>
      </c>
      <c r="C436" s="6">
        <v>0</v>
      </c>
      <c r="D436" s="6">
        <v>441347</v>
      </c>
      <c r="E436" s="6">
        <v>441347</v>
      </c>
      <c r="F436" s="6">
        <f t="shared" si="42"/>
        <v>0</v>
      </c>
    </row>
    <row r="437" spans="1:6" ht="15.75" thickBot="1" x14ac:dyDescent="0.3">
      <c r="A437" s="5">
        <v>250501</v>
      </c>
      <c r="B437" s="5" t="s">
        <v>267</v>
      </c>
      <c r="C437" s="6">
        <v>0</v>
      </c>
      <c r="D437" s="6">
        <v>9334548</v>
      </c>
      <c r="E437" s="6">
        <v>9334548</v>
      </c>
      <c r="F437" s="6">
        <f t="shared" si="42"/>
        <v>0</v>
      </c>
    </row>
    <row r="438" spans="1:6" ht="15.75" thickBot="1" x14ac:dyDescent="0.3">
      <c r="A438" s="5">
        <v>250501</v>
      </c>
      <c r="B438" s="5" t="s">
        <v>268</v>
      </c>
      <c r="C438" s="6">
        <v>0</v>
      </c>
      <c r="D438" s="6">
        <v>627542</v>
      </c>
      <c r="E438" s="6">
        <v>627542</v>
      </c>
      <c r="F438" s="6">
        <f t="shared" si="42"/>
        <v>0</v>
      </c>
    </row>
    <row r="439" spans="1:6" ht="15.75" thickBot="1" x14ac:dyDescent="0.3">
      <c r="A439" s="5">
        <v>250501</v>
      </c>
      <c r="B439" s="5" t="s">
        <v>269</v>
      </c>
      <c r="C439" s="6">
        <v>0</v>
      </c>
      <c r="D439" s="6">
        <v>1175501</v>
      </c>
      <c r="E439" s="6">
        <v>1175501</v>
      </c>
      <c r="F439" s="6">
        <f t="shared" si="42"/>
        <v>0</v>
      </c>
    </row>
    <row r="440" spans="1:6" ht="15.75" thickBot="1" x14ac:dyDescent="0.3">
      <c r="A440" s="5">
        <v>250501</v>
      </c>
      <c r="B440" s="5" t="s">
        <v>270</v>
      </c>
      <c r="C440" s="6">
        <v>0</v>
      </c>
      <c r="D440" s="6">
        <v>34260</v>
      </c>
      <c r="E440" s="6">
        <v>34260</v>
      </c>
      <c r="F440" s="6">
        <f t="shared" si="42"/>
        <v>0</v>
      </c>
    </row>
    <row r="441" spans="1:6" ht="15.75" thickBot="1" x14ac:dyDescent="0.3">
      <c r="A441" s="5">
        <v>250501</v>
      </c>
      <c r="B441" s="5" t="s">
        <v>271</v>
      </c>
      <c r="C441" s="6">
        <v>0</v>
      </c>
      <c r="D441" s="6">
        <v>1037172</v>
      </c>
      <c r="E441" s="6">
        <v>1037172</v>
      </c>
      <c r="F441" s="6">
        <f t="shared" si="42"/>
        <v>0</v>
      </c>
    </row>
    <row r="442" spans="1:6" ht="15.75" thickBot="1" x14ac:dyDescent="0.3">
      <c r="A442" s="5">
        <v>250501</v>
      </c>
      <c r="B442" s="5" t="s">
        <v>272</v>
      </c>
      <c r="C442" s="6">
        <v>0</v>
      </c>
      <c r="D442" s="6">
        <v>1541090</v>
      </c>
      <c r="E442" s="6">
        <v>1541090</v>
      </c>
      <c r="F442" s="6">
        <f t="shared" si="42"/>
        <v>0</v>
      </c>
    </row>
    <row r="443" spans="1:6" ht="15.75" thickBot="1" x14ac:dyDescent="0.3">
      <c r="A443" s="5">
        <v>250501</v>
      </c>
      <c r="B443" s="5" t="s">
        <v>273</v>
      </c>
      <c r="C443" s="6">
        <v>0</v>
      </c>
      <c r="D443" s="6">
        <v>9334548</v>
      </c>
      <c r="E443" s="6">
        <v>9334548</v>
      </c>
      <c r="F443" s="6">
        <f t="shared" si="42"/>
        <v>0</v>
      </c>
    </row>
    <row r="444" spans="1:6" ht="15.75" thickBot="1" x14ac:dyDescent="0.3">
      <c r="A444" s="5">
        <v>250501</v>
      </c>
      <c r="B444" s="5" t="s">
        <v>274</v>
      </c>
      <c r="C444" s="6">
        <v>0</v>
      </c>
      <c r="D444" s="6">
        <v>106195</v>
      </c>
      <c r="E444" s="6">
        <v>106195</v>
      </c>
      <c r="F444" s="6">
        <f t="shared" si="42"/>
        <v>0</v>
      </c>
    </row>
    <row r="445" spans="1:6" ht="15.75" thickBot="1" x14ac:dyDescent="0.3">
      <c r="A445" s="15">
        <v>2510</v>
      </c>
      <c r="B445" s="15" t="s">
        <v>289</v>
      </c>
      <c r="C445" s="24">
        <f>+C446</f>
        <v>2209068</v>
      </c>
      <c r="D445" s="24">
        <f t="shared" ref="D445:E445" si="45">+D446</f>
        <v>0</v>
      </c>
      <c r="E445" s="24">
        <f t="shared" si="45"/>
        <v>4458735</v>
      </c>
      <c r="F445" s="24">
        <f>+F446</f>
        <v>6667803</v>
      </c>
    </row>
    <row r="446" spans="1:6" ht="15.75" thickBot="1" x14ac:dyDescent="0.3">
      <c r="A446" s="22">
        <v>251010</v>
      </c>
      <c r="B446" s="22" t="s">
        <v>289</v>
      </c>
      <c r="C446" s="29">
        <f>+SUM(C447:C465)</f>
        <v>2209068</v>
      </c>
      <c r="D446" s="29">
        <f t="shared" ref="D446:F446" si="46">+SUM(D447:D465)</f>
        <v>0</v>
      </c>
      <c r="E446" s="29">
        <f t="shared" si="46"/>
        <v>4458735</v>
      </c>
      <c r="F446" s="29">
        <f t="shared" si="46"/>
        <v>6667803</v>
      </c>
    </row>
    <row r="447" spans="1:6" ht="15.75" thickBot="1" x14ac:dyDescent="0.3">
      <c r="A447" s="5">
        <v>251010</v>
      </c>
      <c r="B447" s="5" t="s">
        <v>261</v>
      </c>
      <c r="C447" s="6">
        <v>5636</v>
      </c>
      <c r="D447" s="6">
        <v>0</v>
      </c>
      <c r="E447" s="6">
        <v>625448</v>
      </c>
      <c r="F447" s="6">
        <f t="shared" si="42"/>
        <v>631084</v>
      </c>
    </row>
    <row r="448" spans="1:6" ht="15.75" thickBot="1" x14ac:dyDescent="0.3">
      <c r="A448" s="5">
        <v>251010</v>
      </c>
      <c r="B448" s="5" t="s">
        <v>262</v>
      </c>
      <c r="C448" s="6">
        <v>930028</v>
      </c>
      <c r="D448" s="6">
        <v>0</v>
      </c>
      <c r="E448" s="6">
        <v>837540</v>
      </c>
      <c r="F448" s="6">
        <f t="shared" si="42"/>
        <v>1767568</v>
      </c>
    </row>
    <row r="449" spans="1:6" ht="15.75" thickBot="1" x14ac:dyDescent="0.3">
      <c r="A449" s="5">
        <v>251010</v>
      </c>
      <c r="B449" s="5" t="s">
        <v>290</v>
      </c>
      <c r="C449" s="6">
        <v>-450</v>
      </c>
      <c r="D449" s="6">
        <v>0</v>
      </c>
      <c r="E449" s="6">
        <v>0</v>
      </c>
      <c r="F449" s="6">
        <f t="shared" si="42"/>
        <v>-450</v>
      </c>
    </row>
    <row r="450" spans="1:6" ht="15.75" thickBot="1" x14ac:dyDescent="0.3">
      <c r="A450" s="5">
        <v>251010</v>
      </c>
      <c r="B450" s="5" t="s">
        <v>263</v>
      </c>
      <c r="C450" s="6">
        <v>0</v>
      </c>
      <c r="D450" s="6">
        <v>0</v>
      </c>
      <c r="E450" s="6">
        <v>709968</v>
      </c>
      <c r="F450" s="6">
        <f t="shared" si="42"/>
        <v>709968</v>
      </c>
    </row>
    <row r="451" spans="1:6" ht="15.75" thickBot="1" x14ac:dyDescent="0.3">
      <c r="A451" s="5">
        <v>251010</v>
      </c>
      <c r="B451" s="5" t="s">
        <v>264</v>
      </c>
      <c r="C451" s="6">
        <v>0</v>
      </c>
      <c r="D451" s="6">
        <v>0</v>
      </c>
      <c r="E451" s="6">
        <v>152135</v>
      </c>
      <c r="F451" s="6">
        <f t="shared" si="42"/>
        <v>152135</v>
      </c>
    </row>
    <row r="452" spans="1:6" ht="15.75" thickBot="1" x14ac:dyDescent="0.3">
      <c r="A452" s="5">
        <v>251010</v>
      </c>
      <c r="B452" s="5" t="s">
        <v>223</v>
      </c>
      <c r="C452" s="6">
        <v>0</v>
      </c>
      <c r="D452" s="6">
        <v>0</v>
      </c>
      <c r="E452" s="6">
        <v>93060</v>
      </c>
      <c r="F452" s="6">
        <f t="shared" si="42"/>
        <v>93060</v>
      </c>
    </row>
    <row r="453" spans="1:6" ht="15.75" thickBot="1" x14ac:dyDescent="0.3">
      <c r="A453" s="5">
        <v>251010</v>
      </c>
      <c r="B453" s="5" t="s">
        <v>265</v>
      </c>
      <c r="C453" s="6">
        <v>0</v>
      </c>
      <c r="D453" s="6">
        <v>0</v>
      </c>
      <c r="E453" s="6">
        <v>59164</v>
      </c>
      <c r="F453" s="6">
        <f t="shared" si="42"/>
        <v>59164</v>
      </c>
    </row>
    <row r="454" spans="1:6" ht="15.75" thickBot="1" x14ac:dyDescent="0.3">
      <c r="A454" s="5">
        <v>251010</v>
      </c>
      <c r="B454" s="5" t="s">
        <v>266</v>
      </c>
      <c r="C454" s="6">
        <v>0</v>
      </c>
      <c r="D454" s="6">
        <v>0</v>
      </c>
      <c r="E454" s="6">
        <v>42260</v>
      </c>
      <c r="F454" s="6">
        <f t="shared" si="42"/>
        <v>42260</v>
      </c>
    </row>
    <row r="455" spans="1:6" ht="15.75" thickBot="1" x14ac:dyDescent="0.3">
      <c r="A455" s="5">
        <v>251010</v>
      </c>
      <c r="B455" s="5" t="s">
        <v>267</v>
      </c>
      <c r="C455" s="6">
        <v>665110</v>
      </c>
      <c r="D455" s="6">
        <v>0</v>
      </c>
      <c r="E455" s="6">
        <v>769220</v>
      </c>
      <c r="F455" s="6">
        <f t="shared" si="42"/>
        <v>1434330</v>
      </c>
    </row>
    <row r="456" spans="1:6" ht="15.75" thickBot="1" x14ac:dyDescent="0.3">
      <c r="A456" s="5">
        <v>251010</v>
      </c>
      <c r="B456" s="5" t="s">
        <v>291</v>
      </c>
      <c r="C456" s="6">
        <v>2818</v>
      </c>
      <c r="D456" s="6">
        <v>0</v>
      </c>
      <c r="E456" s="6">
        <v>0</v>
      </c>
      <c r="F456" s="6">
        <f t="shared" si="42"/>
        <v>2818</v>
      </c>
    </row>
    <row r="457" spans="1:6" ht="15.75" thickBot="1" x14ac:dyDescent="0.3">
      <c r="A457" s="5">
        <v>251010</v>
      </c>
      <c r="B457" s="5" t="s">
        <v>268</v>
      </c>
      <c r="C457" s="6">
        <v>0</v>
      </c>
      <c r="D457" s="6">
        <v>0</v>
      </c>
      <c r="E457" s="6">
        <v>59164</v>
      </c>
      <c r="F457" s="6">
        <f t="shared" si="42"/>
        <v>59164</v>
      </c>
    </row>
    <row r="458" spans="1:6" ht="15.75" thickBot="1" x14ac:dyDescent="0.3">
      <c r="A458" s="5">
        <v>251010</v>
      </c>
      <c r="B458" s="5" t="s">
        <v>269</v>
      </c>
      <c r="C458" s="6">
        <v>0</v>
      </c>
      <c r="D458" s="6">
        <v>0</v>
      </c>
      <c r="E458" s="6">
        <v>101424</v>
      </c>
      <c r="F458" s="6">
        <f t="shared" si="42"/>
        <v>101424</v>
      </c>
    </row>
    <row r="459" spans="1:6" ht="15.75" thickBot="1" x14ac:dyDescent="0.3">
      <c r="A459" s="5">
        <v>251010</v>
      </c>
      <c r="B459" s="5" t="s">
        <v>270</v>
      </c>
      <c r="C459" s="6">
        <v>0</v>
      </c>
      <c r="D459" s="6">
        <v>0</v>
      </c>
      <c r="E459" s="6">
        <v>2818</v>
      </c>
      <c r="F459" s="6">
        <f t="shared" si="42"/>
        <v>2818</v>
      </c>
    </row>
    <row r="460" spans="1:6" ht="15.75" thickBot="1" x14ac:dyDescent="0.3">
      <c r="A460" s="5">
        <v>251010</v>
      </c>
      <c r="B460" s="5" t="s">
        <v>271</v>
      </c>
      <c r="C460" s="6">
        <v>0</v>
      </c>
      <c r="D460" s="6">
        <v>0</v>
      </c>
      <c r="E460" s="6">
        <v>93060</v>
      </c>
      <c r="F460" s="6">
        <f t="shared" si="42"/>
        <v>93060</v>
      </c>
    </row>
    <row r="461" spans="1:6" ht="15.75" thickBot="1" x14ac:dyDescent="0.3">
      <c r="A461" s="5">
        <v>251010</v>
      </c>
      <c r="B461" s="5" t="s">
        <v>292</v>
      </c>
      <c r="C461" s="6">
        <v>5636</v>
      </c>
      <c r="D461" s="6">
        <v>0</v>
      </c>
      <c r="E461" s="6">
        <v>0</v>
      </c>
      <c r="F461" s="6">
        <f t="shared" si="42"/>
        <v>5636</v>
      </c>
    </row>
    <row r="462" spans="1:6" ht="15.75" thickBot="1" x14ac:dyDescent="0.3">
      <c r="A462" s="5">
        <v>251010</v>
      </c>
      <c r="B462" s="5" t="s">
        <v>272</v>
      </c>
      <c r="C462" s="6">
        <v>273372</v>
      </c>
      <c r="D462" s="6">
        <v>0</v>
      </c>
      <c r="E462" s="6">
        <v>127350</v>
      </c>
      <c r="F462" s="6">
        <f t="shared" si="42"/>
        <v>400722</v>
      </c>
    </row>
    <row r="463" spans="1:6" ht="15.75" thickBot="1" x14ac:dyDescent="0.3">
      <c r="A463" s="5">
        <v>251010</v>
      </c>
      <c r="B463" s="5" t="s">
        <v>273</v>
      </c>
      <c r="C463" s="6">
        <v>315646</v>
      </c>
      <c r="D463" s="6">
        <v>0</v>
      </c>
      <c r="E463" s="6">
        <v>769220</v>
      </c>
      <c r="F463" s="6">
        <f t="shared" si="42"/>
        <v>1084866</v>
      </c>
    </row>
    <row r="464" spans="1:6" ht="15.75" thickBot="1" x14ac:dyDescent="0.3">
      <c r="A464" s="5">
        <v>251010</v>
      </c>
      <c r="B464" s="5" t="s">
        <v>274</v>
      </c>
      <c r="C464" s="6">
        <v>0</v>
      </c>
      <c r="D464" s="6">
        <v>0</v>
      </c>
      <c r="E464" s="6">
        <v>16904</v>
      </c>
      <c r="F464" s="6">
        <f t="shared" si="42"/>
        <v>16904</v>
      </c>
    </row>
    <row r="465" spans="1:6" ht="15.75" thickBot="1" x14ac:dyDescent="0.3">
      <c r="A465" s="5">
        <v>251010</v>
      </c>
      <c r="B465" s="5" t="s">
        <v>293</v>
      </c>
      <c r="C465" s="6">
        <v>11272</v>
      </c>
      <c r="D465" s="6">
        <v>0</v>
      </c>
      <c r="E465" s="6">
        <v>0</v>
      </c>
      <c r="F465" s="6">
        <f t="shared" si="42"/>
        <v>11272</v>
      </c>
    </row>
    <row r="466" spans="1:6" ht="15.75" thickBot="1" x14ac:dyDescent="0.3">
      <c r="A466" s="15">
        <v>2515</v>
      </c>
      <c r="B466" s="15" t="s">
        <v>289</v>
      </c>
      <c r="C466" s="24">
        <f>+C467</f>
        <v>22081</v>
      </c>
      <c r="D466" s="24">
        <f t="shared" ref="D466" si="47">+D467</f>
        <v>0</v>
      </c>
      <c r="E466" s="24">
        <f t="shared" ref="E466" si="48">+E467</f>
        <v>535251</v>
      </c>
      <c r="F466" s="24">
        <f>+F467</f>
        <v>557332</v>
      </c>
    </row>
    <row r="467" spans="1:6" ht="15.75" thickBot="1" x14ac:dyDescent="0.3">
      <c r="A467" s="22">
        <v>251505</v>
      </c>
      <c r="B467" s="22" t="s">
        <v>289</v>
      </c>
      <c r="C467" s="29">
        <f>+SUM(C468:C485)</f>
        <v>22081</v>
      </c>
      <c r="D467" s="29">
        <f t="shared" ref="D467:E467" si="49">+SUM(D468:D485)</f>
        <v>0</v>
      </c>
      <c r="E467" s="29">
        <f t="shared" si="49"/>
        <v>535251</v>
      </c>
      <c r="F467" s="29">
        <f>+SUM(F468:F485)</f>
        <v>557332</v>
      </c>
    </row>
    <row r="468" spans="1:6" ht="15.75" thickBot="1" x14ac:dyDescent="0.3">
      <c r="A468" s="5">
        <v>251505</v>
      </c>
      <c r="B468" s="5" t="s">
        <v>261</v>
      </c>
      <c r="C468" s="6">
        <v>56</v>
      </c>
      <c r="D468" s="6">
        <v>0</v>
      </c>
      <c r="E468" s="6">
        <v>75081</v>
      </c>
      <c r="F468" s="6">
        <f t="shared" si="42"/>
        <v>75137</v>
      </c>
    </row>
    <row r="469" spans="1:6" ht="15.75" thickBot="1" x14ac:dyDescent="0.3">
      <c r="A469" s="5">
        <v>251505</v>
      </c>
      <c r="B469" s="5" t="s">
        <v>262</v>
      </c>
      <c r="C469" s="6">
        <v>9295</v>
      </c>
      <c r="D469" s="6">
        <v>0</v>
      </c>
      <c r="E469" s="6">
        <v>100548</v>
      </c>
      <c r="F469" s="6">
        <f t="shared" si="42"/>
        <v>109843</v>
      </c>
    </row>
    <row r="470" spans="1:6" ht="15.75" thickBot="1" x14ac:dyDescent="0.3">
      <c r="A470" s="5">
        <v>251505</v>
      </c>
      <c r="B470" s="5" t="s">
        <v>263</v>
      </c>
      <c r="C470" s="6">
        <v>0</v>
      </c>
      <c r="D470" s="6">
        <v>0</v>
      </c>
      <c r="E470" s="6">
        <v>85227</v>
      </c>
      <c r="F470" s="6">
        <f t="shared" si="42"/>
        <v>85227</v>
      </c>
    </row>
    <row r="471" spans="1:6" ht="15.75" thickBot="1" x14ac:dyDescent="0.3">
      <c r="A471" s="5">
        <v>251505</v>
      </c>
      <c r="B471" s="5" t="s">
        <v>264</v>
      </c>
      <c r="C471" s="6">
        <v>0</v>
      </c>
      <c r="D471" s="6">
        <v>0</v>
      </c>
      <c r="E471" s="6">
        <v>18263</v>
      </c>
      <c r="F471" s="6">
        <f t="shared" si="42"/>
        <v>18263</v>
      </c>
    </row>
    <row r="472" spans="1:6" ht="15.75" thickBot="1" x14ac:dyDescent="0.3">
      <c r="A472" s="5">
        <v>251505</v>
      </c>
      <c r="B472" s="5" t="s">
        <v>223</v>
      </c>
      <c r="C472" s="6">
        <v>0</v>
      </c>
      <c r="D472" s="6">
        <v>0</v>
      </c>
      <c r="E472" s="6">
        <v>11172</v>
      </c>
      <c r="F472" s="6">
        <f t="shared" si="42"/>
        <v>11172</v>
      </c>
    </row>
    <row r="473" spans="1:6" ht="15.75" thickBot="1" x14ac:dyDescent="0.3">
      <c r="A473" s="5">
        <v>251505</v>
      </c>
      <c r="B473" s="5" t="s">
        <v>265</v>
      </c>
      <c r="C473" s="6">
        <v>0</v>
      </c>
      <c r="D473" s="6">
        <v>0</v>
      </c>
      <c r="E473" s="6">
        <v>7103</v>
      </c>
      <c r="F473" s="6">
        <f t="shared" si="42"/>
        <v>7103</v>
      </c>
    </row>
    <row r="474" spans="1:6" ht="15.75" thickBot="1" x14ac:dyDescent="0.3">
      <c r="A474" s="5">
        <v>251505</v>
      </c>
      <c r="B474" s="5" t="s">
        <v>266</v>
      </c>
      <c r="C474" s="6">
        <v>0</v>
      </c>
      <c r="D474" s="6">
        <v>0</v>
      </c>
      <c r="E474" s="6">
        <v>5073</v>
      </c>
      <c r="F474" s="6">
        <f t="shared" si="42"/>
        <v>5073</v>
      </c>
    </row>
    <row r="475" spans="1:6" ht="15.75" thickBot="1" x14ac:dyDescent="0.3">
      <c r="A475" s="5">
        <v>251505</v>
      </c>
      <c r="B475" s="5" t="s">
        <v>267</v>
      </c>
      <c r="C475" s="6">
        <v>6647</v>
      </c>
      <c r="D475" s="6">
        <v>0</v>
      </c>
      <c r="E475" s="6">
        <v>92340</v>
      </c>
      <c r="F475" s="6">
        <f t="shared" si="42"/>
        <v>98987</v>
      </c>
    </row>
    <row r="476" spans="1:6" ht="15.75" thickBot="1" x14ac:dyDescent="0.3">
      <c r="A476" s="5">
        <v>251505</v>
      </c>
      <c r="B476" s="5" t="s">
        <v>291</v>
      </c>
      <c r="C476" s="6">
        <v>28</v>
      </c>
      <c r="D476" s="6">
        <v>0</v>
      </c>
      <c r="E476" s="6">
        <v>0</v>
      </c>
      <c r="F476" s="6">
        <f t="shared" si="42"/>
        <v>28</v>
      </c>
    </row>
    <row r="477" spans="1:6" ht="15.75" thickBot="1" x14ac:dyDescent="0.3">
      <c r="A477" s="5">
        <v>251505</v>
      </c>
      <c r="B477" s="5" t="s">
        <v>268</v>
      </c>
      <c r="C477" s="6">
        <v>0</v>
      </c>
      <c r="D477" s="6">
        <v>0</v>
      </c>
      <c r="E477" s="6">
        <v>7103</v>
      </c>
      <c r="F477" s="6">
        <f t="shared" si="42"/>
        <v>7103</v>
      </c>
    </row>
    <row r="478" spans="1:6" ht="15.75" thickBot="1" x14ac:dyDescent="0.3">
      <c r="A478" s="5">
        <v>251505</v>
      </c>
      <c r="B478" s="5" t="s">
        <v>269</v>
      </c>
      <c r="C478" s="6">
        <v>0</v>
      </c>
      <c r="D478" s="6">
        <v>0</v>
      </c>
      <c r="E478" s="6">
        <v>12175</v>
      </c>
      <c r="F478" s="6">
        <f t="shared" si="42"/>
        <v>12175</v>
      </c>
    </row>
    <row r="479" spans="1:6" ht="15.75" thickBot="1" x14ac:dyDescent="0.3">
      <c r="A479" s="5">
        <v>251505</v>
      </c>
      <c r="B479" s="5" t="s">
        <v>270</v>
      </c>
      <c r="C479" s="6">
        <v>0</v>
      </c>
      <c r="D479" s="6">
        <v>0</v>
      </c>
      <c r="E479" s="6">
        <v>338</v>
      </c>
      <c r="F479" s="6">
        <f t="shared" si="42"/>
        <v>338</v>
      </c>
    </row>
    <row r="480" spans="1:6" ht="15.75" thickBot="1" x14ac:dyDescent="0.3">
      <c r="A480" s="5">
        <v>251505</v>
      </c>
      <c r="B480" s="5" t="s">
        <v>271</v>
      </c>
      <c r="C480" s="6">
        <v>0</v>
      </c>
      <c r="D480" s="6">
        <v>0</v>
      </c>
      <c r="E480" s="6">
        <v>11172</v>
      </c>
      <c r="F480" s="6">
        <f t="shared" si="42"/>
        <v>11172</v>
      </c>
    </row>
    <row r="481" spans="1:6" ht="15.75" thickBot="1" x14ac:dyDescent="0.3">
      <c r="A481" s="5">
        <v>251505</v>
      </c>
      <c r="B481" s="5" t="s">
        <v>292</v>
      </c>
      <c r="C481" s="6">
        <v>56</v>
      </c>
      <c r="D481" s="6">
        <v>0</v>
      </c>
      <c r="E481" s="6">
        <v>0</v>
      </c>
      <c r="F481" s="6">
        <f t="shared" si="42"/>
        <v>56</v>
      </c>
    </row>
    <row r="482" spans="1:6" ht="15.75" thickBot="1" x14ac:dyDescent="0.3">
      <c r="A482" s="5">
        <v>251505</v>
      </c>
      <c r="B482" s="5" t="s">
        <v>272</v>
      </c>
      <c r="C482" s="6">
        <v>2732</v>
      </c>
      <c r="D482" s="6">
        <v>0</v>
      </c>
      <c r="E482" s="6">
        <v>15287</v>
      </c>
      <c r="F482" s="6">
        <f t="shared" si="42"/>
        <v>18019</v>
      </c>
    </row>
    <row r="483" spans="1:6" ht="15.75" thickBot="1" x14ac:dyDescent="0.3">
      <c r="A483" s="5">
        <v>251505</v>
      </c>
      <c r="B483" s="5" t="s">
        <v>273</v>
      </c>
      <c r="C483" s="6">
        <v>3155</v>
      </c>
      <c r="D483" s="6">
        <v>0</v>
      </c>
      <c r="E483" s="6">
        <v>92340</v>
      </c>
      <c r="F483" s="6">
        <f t="shared" si="42"/>
        <v>95495</v>
      </c>
    </row>
    <row r="484" spans="1:6" ht="15.75" thickBot="1" x14ac:dyDescent="0.3">
      <c r="A484" s="5">
        <v>251505</v>
      </c>
      <c r="B484" s="5" t="s">
        <v>274</v>
      </c>
      <c r="C484" s="6">
        <v>0</v>
      </c>
      <c r="D484" s="6">
        <v>0</v>
      </c>
      <c r="E484" s="6">
        <v>2029</v>
      </c>
      <c r="F484" s="6">
        <f t="shared" si="42"/>
        <v>2029</v>
      </c>
    </row>
    <row r="485" spans="1:6" ht="15.75" thickBot="1" x14ac:dyDescent="0.3">
      <c r="A485" s="5">
        <v>251505</v>
      </c>
      <c r="B485" s="5" t="s">
        <v>293</v>
      </c>
      <c r="C485" s="6">
        <v>112</v>
      </c>
      <c r="D485" s="6">
        <v>0</v>
      </c>
      <c r="E485" s="6">
        <v>0</v>
      </c>
      <c r="F485" s="6">
        <f t="shared" si="42"/>
        <v>112</v>
      </c>
    </row>
    <row r="486" spans="1:6" ht="15.75" thickBot="1" x14ac:dyDescent="0.3">
      <c r="A486" s="15">
        <v>2520</v>
      </c>
      <c r="B486" s="15" t="s">
        <v>294</v>
      </c>
      <c r="C486" s="24">
        <f>+C487</f>
        <v>2209068</v>
      </c>
      <c r="D486" s="24">
        <f t="shared" ref="D486:E486" si="50">+D487</f>
        <v>0</v>
      </c>
      <c r="E486" s="24">
        <f t="shared" si="50"/>
        <v>4458735</v>
      </c>
      <c r="F486" s="24">
        <f>+F487</f>
        <v>6667803</v>
      </c>
    </row>
    <row r="487" spans="1:6" ht="15.75" thickBot="1" x14ac:dyDescent="0.3">
      <c r="A487" s="22">
        <v>252001</v>
      </c>
      <c r="B487" s="22" t="s">
        <v>294</v>
      </c>
      <c r="C487" s="29">
        <f>+SUM(C488:C506)</f>
        <v>2209068</v>
      </c>
      <c r="D487" s="29">
        <f t="shared" ref="D487:F487" si="51">+SUM(D488:D506)</f>
        <v>0</v>
      </c>
      <c r="E487" s="29">
        <f t="shared" si="51"/>
        <v>4458735</v>
      </c>
      <c r="F487" s="29">
        <f t="shared" si="51"/>
        <v>6667803</v>
      </c>
    </row>
    <row r="488" spans="1:6" ht="15.75" thickBot="1" x14ac:dyDescent="0.3">
      <c r="A488" s="5">
        <v>252001</v>
      </c>
      <c r="B488" s="5" t="s">
        <v>261</v>
      </c>
      <c r="C488" s="6">
        <v>5636</v>
      </c>
      <c r="D488" s="6">
        <v>0</v>
      </c>
      <c r="E488" s="6">
        <v>625448</v>
      </c>
      <c r="F488" s="6">
        <f t="shared" si="42"/>
        <v>631084</v>
      </c>
    </row>
    <row r="489" spans="1:6" ht="15.75" thickBot="1" x14ac:dyDescent="0.3">
      <c r="A489" s="5">
        <v>252001</v>
      </c>
      <c r="B489" s="5" t="s">
        <v>262</v>
      </c>
      <c r="C489" s="6">
        <v>930028</v>
      </c>
      <c r="D489" s="6">
        <v>0</v>
      </c>
      <c r="E489" s="6">
        <v>837540</v>
      </c>
      <c r="F489" s="6">
        <f t="shared" si="42"/>
        <v>1767568</v>
      </c>
    </row>
    <row r="490" spans="1:6" ht="15.75" thickBot="1" x14ac:dyDescent="0.3">
      <c r="A490" s="5">
        <v>252001</v>
      </c>
      <c r="B490" s="5" t="s">
        <v>290</v>
      </c>
      <c r="C490" s="6">
        <v>-450</v>
      </c>
      <c r="D490" s="6">
        <v>0</v>
      </c>
      <c r="E490" s="6">
        <v>0</v>
      </c>
      <c r="F490" s="6">
        <f t="shared" si="42"/>
        <v>-450</v>
      </c>
    </row>
    <row r="491" spans="1:6" ht="15.75" thickBot="1" x14ac:dyDescent="0.3">
      <c r="A491" s="5">
        <v>252001</v>
      </c>
      <c r="B491" s="5" t="s">
        <v>263</v>
      </c>
      <c r="C491" s="6">
        <v>0</v>
      </c>
      <c r="D491" s="6">
        <v>0</v>
      </c>
      <c r="E491" s="6">
        <v>709968</v>
      </c>
      <c r="F491" s="6">
        <f t="shared" ref="F491:F555" si="52">+C491+E491-D491</f>
        <v>709968</v>
      </c>
    </row>
    <row r="492" spans="1:6" ht="15.75" thickBot="1" x14ac:dyDescent="0.3">
      <c r="A492" s="5">
        <v>252001</v>
      </c>
      <c r="B492" s="5" t="s">
        <v>264</v>
      </c>
      <c r="C492" s="6">
        <v>0</v>
      </c>
      <c r="D492" s="6">
        <v>0</v>
      </c>
      <c r="E492" s="6">
        <v>152135</v>
      </c>
      <c r="F492" s="6">
        <f t="shared" si="52"/>
        <v>152135</v>
      </c>
    </row>
    <row r="493" spans="1:6" ht="15.75" thickBot="1" x14ac:dyDescent="0.3">
      <c r="A493" s="5">
        <v>252001</v>
      </c>
      <c r="B493" s="5" t="s">
        <v>223</v>
      </c>
      <c r="C493" s="6">
        <v>0</v>
      </c>
      <c r="D493" s="6">
        <v>0</v>
      </c>
      <c r="E493" s="6">
        <v>93060</v>
      </c>
      <c r="F493" s="6">
        <f t="shared" si="52"/>
        <v>93060</v>
      </c>
    </row>
    <row r="494" spans="1:6" ht="15.75" thickBot="1" x14ac:dyDescent="0.3">
      <c r="A494" s="5">
        <v>252001</v>
      </c>
      <c r="B494" s="5" t="s">
        <v>265</v>
      </c>
      <c r="C494" s="6">
        <v>0</v>
      </c>
      <c r="D494" s="6">
        <v>0</v>
      </c>
      <c r="E494" s="6">
        <v>59164</v>
      </c>
      <c r="F494" s="6">
        <f t="shared" si="52"/>
        <v>59164</v>
      </c>
    </row>
    <row r="495" spans="1:6" ht="15.75" thickBot="1" x14ac:dyDescent="0.3">
      <c r="A495" s="5">
        <v>252001</v>
      </c>
      <c r="B495" s="5" t="s">
        <v>266</v>
      </c>
      <c r="C495" s="6">
        <v>0</v>
      </c>
      <c r="D495" s="6">
        <v>0</v>
      </c>
      <c r="E495" s="6">
        <v>42260</v>
      </c>
      <c r="F495" s="6">
        <f t="shared" si="52"/>
        <v>42260</v>
      </c>
    </row>
    <row r="496" spans="1:6" ht="15.75" thickBot="1" x14ac:dyDescent="0.3">
      <c r="A496" s="5">
        <v>252001</v>
      </c>
      <c r="B496" s="5" t="s">
        <v>267</v>
      </c>
      <c r="C496" s="6">
        <v>665110</v>
      </c>
      <c r="D496" s="6">
        <v>0</v>
      </c>
      <c r="E496" s="6">
        <v>769220</v>
      </c>
      <c r="F496" s="6">
        <f t="shared" si="52"/>
        <v>1434330</v>
      </c>
    </row>
    <row r="497" spans="1:6" ht="15.75" thickBot="1" x14ac:dyDescent="0.3">
      <c r="A497" s="5">
        <v>252001</v>
      </c>
      <c r="B497" s="5" t="s">
        <v>291</v>
      </c>
      <c r="C497" s="6">
        <v>2818</v>
      </c>
      <c r="D497" s="6">
        <v>0</v>
      </c>
      <c r="E497" s="6">
        <v>0</v>
      </c>
      <c r="F497" s="6">
        <f t="shared" si="52"/>
        <v>2818</v>
      </c>
    </row>
    <row r="498" spans="1:6" ht="15.75" thickBot="1" x14ac:dyDescent="0.3">
      <c r="A498" s="5">
        <v>252001</v>
      </c>
      <c r="B498" s="5" t="s">
        <v>268</v>
      </c>
      <c r="C498" s="6">
        <v>0</v>
      </c>
      <c r="D498" s="6">
        <v>0</v>
      </c>
      <c r="E498" s="6">
        <v>59164</v>
      </c>
      <c r="F498" s="6">
        <f t="shared" si="52"/>
        <v>59164</v>
      </c>
    </row>
    <row r="499" spans="1:6" ht="15.75" thickBot="1" x14ac:dyDescent="0.3">
      <c r="A499" s="5">
        <v>252001</v>
      </c>
      <c r="B499" s="5" t="s">
        <v>269</v>
      </c>
      <c r="C499" s="6">
        <v>0</v>
      </c>
      <c r="D499" s="6">
        <v>0</v>
      </c>
      <c r="E499" s="6">
        <v>101424</v>
      </c>
      <c r="F499" s="6">
        <f t="shared" si="52"/>
        <v>101424</v>
      </c>
    </row>
    <row r="500" spans="1:6" ht="15.75" thickBot="1" x14ac:dyDescent="0.3">
      <c r="A500" s="5">
        <v>252001</v>
      </c>
      <c r="B500" s="5" t="s">
        <v>270</v>
      </c>
      <c r="C500" s="6">
        <v>0</v>
      </c>
      <c r="D500" s="6">
        <v>0</v>
      </c>
      <c r="E500" s="6">
        <v>2818</v>
      </c>
      <c r="F500" s="6">
        <f t="shared" si="52"/>
        <v>2818</v>
      </c>
    </row>
    <row r="501" spans="1:6" ht="15.75" thickBot="1" x14ac:dyDescent="0.3">
      <c r="A501" s="5">
        <v>252001</v>
      </c>
      <c r="B501" s="5" t="s">
        <v>271</v>
      </c>
      <c r="C501" s="6">
        <v>0</v>
      </c>
      <c r="D501" s="6">
        <v>0</v>
      </c>
      <c r="E501" s="6">
        <v>93060</v>
      </c>
      <c r="F501" s="6">
        <f t="shared" si="52"/>
        <v>93060</v>
      </c>
    </row>
    <row r="502" spans="1:6" ht="15.75" thickBot="1" x14ac:dyDescent="0.3">
      <c r="A502" s="5">
        <v>252001</v>
      </c>
      <c r="B502" s="5" t="s">
        <v>292</v>
      </c>
      <c r="C502" s="6">
        <v>5636</v>
      </c>
      <c r="D502" s="6">
        <v>0</v>
      </c>
      <c r="E502" s="6">
        <v>0</v>
      </c>
      <c r="F502" s="6">
        <f t="shared" si="52"/>
        <v>5636</v>
      </c>
    </row>
    <row r="503" spans="1:6" ht="15.75" thickBot="1" x14ac:dyDescent="0.3">
      <c r="A503" s="5">
        <v>252001</v>
      </c>
      <c r="B503" s="5" t="s">
        <v>272</v>
      </c>
      <c r="C503" s="6">
        <v>273372</v>
      </c>
      <c r="D503" s="6">
        <v>0</v>
      </c>
      <c r="E503" s="6">
        <v>127350</v>
      </c>
      <c r="F503" s="6">
        <f t="shared" si="52"/>
        <v>400722</v>
      </c>
    </row>
    <row r="504" spans="1:6" ht="15.75" thickBot="1" x14ac:dyDescent="0.3">
      <c r="A504" s="5">
        <v>252001</v>
      </c>
      <c r="B504" s="5" t="s">
        <v>273</v>
      </c>
      <c r="C504" s="6">
        <v>315646</v>
      </c>
      <c r="D504" s="6">
        <v>0</v>
      </c>
      <c r="E504" s="6">
        <v>769220</v>
      </c>
      <c r="F504" s="6">
        <f t="shared" si="52"/>
        <v>1084866</v>
      </c>
    </row>
    <row r="505" spans="1:6" ht="15.75" thickBot="1" x14ac:dyDescent="0.3">
      <c r="A505" s="5">
        <v>252001</v>
      </c>
      <c r="B505" s="5" t="s">
        <v>274</v>
      </c>
      <c r="C505" s="6">
        <v>0</v>
      </c>
      <c r="D505" s="6">
        <v>0</v>
      </c>
      <c r="E505" s="6">
        <v>16904</v>
      </c>
      <c r="F505" s="6">
        <f t="shared" si="52"/>
        <v>16904</v>
      </c>
    </row>
    <row r="506" spans="1:6" ht="15.75" thickBot="1" x14ac:dyDescent="0.3">
      <c r="A506" s="5">
        <v>252001</v>
      </c>
      <c r="B506" s="5" t="s">
        <v>293</v>
      </c>
      <c r="C506" s="6">
        <v>11272</v>
      </c>
      <c r="D506" s="6">
        <v>0</v>
      </c>
      <c r="E506" s="6">
        <v>0</v>
      </c>
      <c r="F506" s="6">
        <f t="shared" si="52"/>
        <v>11272</v>
      </c>
    </row>
    <row r="507" spans="1:6" ht="15.75" thickBot="1" x14ac:dyDescent="0.3">
      <c r="A507" s="15">
        <v>2525</v>
      </c>
      <c r="B507" s="15" t="s">
        <v>295</v>
      </c>
      <c r="C507" s="24">
        <f>+C508</f>
        <v>990115</v>
      </c>
      <c r="D507" s="24">
        <f t="shared" ref="D507:F507" si="53">+D508</f>
        <v>0</v>
      </c>
      <c r="E507" s="24">
        <f t="shared" si="53"/>
        <v>2139634</v>
      </c>
      <c r="F507" s="24">
        <f t="shared" si="53"/>
        <v>3129749</v>
      </c>
    </row>
    <row r="508" spans="1:6" ht="15.75" thickBot="1" x14ac:dyDescent="0.3">
      <c r="A508" s="22">
        <v>252501</v>
      </c>
      <c r="B508" s="22" t="s">
        <v>295</v>
      </c>
      <c r="C508" s="29">
        <f>+SUM(C509:C527)</f>
        <v>990115</v>
      </c>
      <c r="D508" s="29">
        <f t="shared" ref="D508:F508" si="54">+SUM(D509:D527)</f>
        <v>0</v>
      </c>
      <c r="E508" s="29">
        <f t="shared" si="54"/>
        <v>2139634</v>
      </c>
      <c r="F508" s="29">
        <f t="shared" si="54"/>
        <v>3129749</v>
      </c>
    </row>
    <row r="509" spans="1:6" ht="15.75" thickBot="1" x14ac:dyDescent="0.3">
      <c r="A509" s="5">
        <v>252501</v>
      </c>
      <c r="B509" s="5" t="s">
        <v>261</v>
      </c>
      <c r="C509" s="6">
        <v>2526</v>
      </c>
      <c r="D509" s="6">
        <v>0</v>
      </c>
      <c r="E509" s="6">
        <v>307840</v>
      </c>
      <c r="F509" s="6">
        <f t="shared" si="52"/>
        <v>310366</v>
      </c>
    </row>
    <row r="510" spans="1:6" ht="15.75" thickBot="1" x14ac:dyDescent="0.3">
      <c r="A510" s="5">
        <v>252501</v>
      </c>
      <c r="B510" s="5" t="s">
        <v>262</v>
      </c>
      <c r="C510" s="6">
        <v>416746</v>
      </c>
      <c r="D510" s="6">
        <v>0</v>
      </c>
      <c r="E510" s="6">
        <v>374400</v>
      </c>
      <c r="F510" s="6">
        <f t="shared" si="52"/>
        <v>791146</v>
      </c>
    </row>
    <row r="511" spans="1:6" ht="15.75" thickBot="1" x14ac:dyDescent="0.3">
      <c r="A511" s="5">
        <v>252501</v>
      </c>
      <c r="B511" s="5" t="s">
        <v>290</v>
      </c>
      <c r="C511" s="6">
        <v>26</v>
      </c>
      <c r="D511" s="6">
        <v>0</v>
      </c>
      <c r="E511" s="6">
        <v>0</v>
      </c>
      <c r="F511" s="6">
        <f t="shared" si="52"/>
        <v>26</v>
      </c>
    </row>
    <row r="512" spans="1:6" ht="15.75" thickBot="1" x14ac:dyDescent="0.3">
      <c r="A512" s="5">
        <v>252501</v>
      </c>
      <c r="B512" s="5" t="s">
        <v>263</v>
      </c>
      <c r="C512" s="6">
        <v>0</v>
      </c>
      <c r="D512" s="6">
        <v>0</v>
      </c>
      <c r="E512" s="6">
        <v>349440</v>
      </c>
      <c r="F512" s="6">
        <f t="shared" si="52"/>
        <v>349440</v>
      </c>
    </row>
    <row r="513" spans="1:6" ht="15.75" thickBot="1" x14ac:dyDescent="0.3">
      <c r="A513" s="5">
        <v>252501</v>
      </c>
      <c r="B513" s="5" t="s">
        <v>264</v>
      </c>
      <c r="C513" s="6">
        <v>0</v>
      </c>
      <c r="D513" s="6">
        <v>0</v>
      </c>
      <c r="E513" s="6">
        <v>74880</v>
      </c>
      <c r="F513" s="6">
        <f t="shared" si="52"/>
        <v>74880</v>
      </c>
    </row>
    <row r="514" spans="1:6" ht="15.75" thickBot="1" x14ac:dyDescent="0.3">
      <c r="A514" s="5">
        <v>252501</v>
      </c>
      <c r="B514" s="5" t="s">
        <v>223</v>
      </c>
      <c r="C514" s="6">
        <v>0</v>
      </c>
      <c r="D514" s="6">
        <v>0</v>
      </c>
      <c r="E514" s="6">
        <v>41600</v>
      </c>
      <c r="F514" s="6">
        <f t="shared" si="52"/>
        <v>41600</v>
      </c>
    </row>
    <row r="515" spans="1:6" ht="15.75" thickBot="1" x14ac:dyDescent="0.3">
      <c r="A515" s="5">
        <v>252501</v>
      </c>
      <c r="B515" s="5" t="s">
        <v>265</v>
      </c>
      <c r="C515" s="6">
        <v>0</v>
      </c>
      <c r="D515" s="6">
        <v>0</v>
      </c>
      <c r="E515" s="6">
        <v>29120</v>
      </c>
      <c r="F515" s="6">
        <f t="shared" si="52"/>
        <v>29120</v>
      </c>
    </row>
    <row r="516" spans="1:6" ht="15.75" thickBot="1" x14ac:dyDescent="0.3">
      <c r="A516" s="5">
        <v>252501</v>
      </c>
      <c r="B516" s="5" t="s">
        <v>266</v>
      </c>
      <c r="C516" s="6">
        <v>0</v>
      </c>
      <c r="D516" s="6">
        <v>0</v>
      </c>
      <c r="E516" s="6">
        <v>20800</v>
      </c>
      <c r="F516" s="6">
        <f t="shared" si="52"/>
        <v>20800</v>
      </c>
    </row>
    <row r="517" spans="1:6" ht="15.75" thickBot="1" x14ac:dyDescent="0.3">
      <c r="A517" s="5">
        <v>252501</v>
      </c>
      <c r="B517" s="5" t="s">
        <v>267</v>
      </c>
      <c r="C517" s="6">
        <v>298037</v>
      </c>
      <c r="D517" s="6">
        <v>0</v>
      </c>
      <c r="E517" s="6">
        <v>374400</v>
      </c>
      <c r="F517" s="6">
        <f t="shared" si="52"/>
        <v>672437</v>
      </c>
    </row>
    <row r="518" spans="1:6" ht="15.75" thickBot="1" x14ac:dyDescent="0.3">
      <c r="A518" s="5">
        <v>252501</v>
      </c>
      <c r="B518" s="5" t="s">
        <v>291</v>
      </c>
      <c r="C518" s="6">
        <v>1263</v>
      </c>
      <c r="D518" s="6">
        <v>0</v>
      </c>
      <c r="E518" s="6">
        <v>0</v>
      </c>
      <c r="F518" s="6">
        <f t="shared" si="52"/>
        <v>1263</v>
      </c>
    </row>
    <row r="519" spans="1:6" ht="15.75" thickBot="1" x14ac:dyDescent="0.3">
      <c r="A519" s="5">
        <v>252501</v>
      </c>
      <c r="B519" s="5" t="s">
        <v>268</v>
      </c>
      <c r="C519" s="6">
        <v>0</v>
      </c>
      <c r="D519" s="6">
        <v>0</v>
      </c>
      <c r="E519" s="6">
        <v>29120</v>
      </c>
      <c r="F519" s="6">
        <f t="shared" si="52"/>
        <v>29120</v>
      </c>
    </row>
    <row r="520" spans="1:6" ht="15.75" thickBot="1" x14ac:dyDescent="0.3">
      <c r="A520" s="5">
        <v>252501</v>
      </c>
      <c r="B520" s="5" t="s">
        <v>269</v>
      </c>
      <c r="C520" s="6">
        <v>0</v>
      </c>
      <c r="D520" s="6">
        <v>0</v>
      </c>
      <c r="E520" s="6">
        <v>49920</v>
      </c>
      <c r="F520" s="6">
        <f t="shared" si="52"/>
        <v>49920</v>
      </c>
    </row>
    <row r="521" spans="1:6" ht="15.75" thickBot="1" x14ac:dyDescent="0.3">
      <c r="A521" s="5">
        <v>252501</v>
      </c>
      <c r="B521" s="5" t="s">
        <v>270</v>
      </c>
      <c r="C521" s="6">
        <v>0</v>
      </c>
      <c r="D521" s="6">
        <v>0</v>
      </c>
      <c r="E521" s="6">
        <v>1387</v>
      </c>
      <c r="F521" s="6">
        <f t="shared" si="52"/>
        <v>1387</v>
      </c>
    </row>
    <row r="522" spans="1:6" ht="15.75" thickBot="1" x14ac:dyDescent="0.3">
      <c r="A522" s="5">
        <v>252501</v>
      </c>
      <c r="B522" s="5" t="s">
        <v>271</v>
      </c>
      <c r="C522" s="6">
        <v>0</v>
      </c>
      <c r="D522" s="6">
        <v>0</v>
      </c>
      <c r="E522" s="6">
        <v>41600</v>
      </c>
      <c r="F522" s="6">
        <f t="shared" si="52"/>
        <v>41600</v>
      </c>
    </row>
    <row r="523" spans="1:6" ht="15.75" thickBot="1" x14ac:dyDescent="0.3">
      <c r="A523" s="5">
        <v>252501</v>
      </c>
      <c r="B523" s="5" t="s">
        <v>292</v>
      </c>
      <c r="C523" s="6">
        <v>2526</v>
      </c>
      <c r="D523" s="6">
        <v>0</v>
      </c>
      <c r="E523" s="6">
        <v>0</v>
      </c>
      <c r="F523" s="6">
        <f t="shared" si="52"/>
        <v>2526</v>
      </c>
    </row>
    <row r="524" spans="1:6" ht="15.75" thickBot="1" x14ac:dyDescent="0.3">
      <c r="A524" s="5">
        <v>252501</v>
      </c>
      <c r="B524" s="5" t="s">
        <v>272</v>
      </c>
      <c r="C524" s="6">
        <v>122498</v>
      </c>
      <c r="D524" s="6">
        <v>0</v>
      </c>
      <c r="E524" s="6">
        <v>62407</v>
      </c>
      <c r="F524" s="6">
        <f t="shared" si="52"/>
        <v>184905</v>
      </c>
    </row>
    <row r="525" spans="1:6" ht="15.75" thickBot="1" x14ac:dyDescent="0.3">
      <c r="A525" s="5">
        <v>252501</v>
      </c>
      <c r="B525" s="5" t="s">
        <v>273</v>
      </c>
      <c r="C525" s="6">
        <v>141441</v>
      </c>
      <c r="D525" s="6">
        <v>0</v>
      </c>
      <c r="E525" s="6">
        <v>374400</v>
      </c>
      <c r="F525" s="6">
        <f t="shared" si="52"/>
        <v>515841</v>
      </c>
    </row>
    <row r="526" spans="1:6" ht="15.75" thickBot="1" x14ac:dyDescent="0.3">
      <c r="A526" s="5">
        <v>252501</v>
      </c>
      <c r="B526" s="5" t="s">
        <v>274</v>
      </c>
      <c r="C526" s="6">
        <v>0</v>
      </c>
      <c r="D526" s="6">
        <v>0</v>
      </c>
      <c r="E526" s="6">
        <v>8320</v>
      </c>
      <c r="F526" s="6">
        <f t="shared" si="52"/>
        <v>8320</v>
      </c>
    </row>
    <row r="527" spans="1:6" ht="15.75" thickBot="1" x14ac:dyDescent="0.3">
      <c r="A527" s="5">
        <v>252501</v>
      </c>
      <c r="B527" s="5" t="s">
        <v>293</v>
      </c>
      <c r="C527" s="6">
        <v>5052</v>
      </c>
      <c r="D527" s="6">
        <v>0</v>
      </c>
      <c r="E527" s="6">
        <v>0</v>
      </c>
      <c r="F527" s="6">
        <f t="shared" si="52"/>
        <v>5052</v>
      </c>
    </row>
    <row r="528" spans="1:6" ht="15.75" thickBot="1" x14ac:dyDescent="0.3">
      <c r="A528" s="4">
        <v>28</v>
      </c>
      <c r="B528" s="4" t="s">
        <v>296</v>
      </c>
      <c r="C528" s="3">
        <f t="shared" ref="C528:D528" si="55">+C529+C559</f>
        <v>178520572</v>
      </c>
      <c r="D528" s="3">
        <f t="shared" si="55"/>
        <v>161466186</v>
      </c>
      <c r="E528" s="3">
        <f>+E529+E559</f>
        <v>279847727</v>
      </c>
      <c r="F528" s="3">
        <f>+C528+E528-D528</f>
        <v>296902113</v>
      </c>
    </row>
    <row r="529" spans="1:6" ht="15.75" thickBot="1" x14ac:dyDescent="0.3">
      <c r="A529" s="15">
        <v>2805</v>
      </c>
      <c r="B529" s="15" t="s">
        <v>314</v>
      </c>
      <c r="C529" s="24">
        <f>+SUM(C530:C558)</f>
        <v>178520572</v>
      </c>
      <c r="D529" s="24">
        <f>+SUM(D530:D558)</f>
        <v>161466186</v>
      </c>
      <c r="E529" s="24">
        <f>+SUM(E530:E558)</f>
        <v>275430648</v>
      </c>
      <c r="F529" s="24">
        <f>+SUM(F530:F558)</f>
        <v>292485034</v>
      </c>
    </row>
    <row r="530" spans="1:6" ht="15.75" thickBot="1" x14ac:dyDescent="0.3">
      <c r="A530" s="5">
        <v>280505</v>
      </c>
      <c r="B530" s="5" t="s">
        <v>242</v>
      </c>
      <c r="C530" s="6">
        <v>0</v>
      </c>
      <c r="D530" s="6">
        <v>0</v>
      </c>
      <c r="E530" s="6">
        <v>2531000</v>
      </c>
      <c r="F530" s="6">
        <f t="shared" si="52"/>
        <v>2531000</v>
      </c>
    </row>
    <row r="531" spans="1:6" ht="15.75" thickBot="1" x14ac:dyDescent="0.3">
      <c r="A531" s="5">
        <v>280505</v>
      </c>
      <c r="B531" s="5" t="s">
        <v>297</v>
      </c>
      <c r="C531" s="6">
        <v>2326331</v>
      </c>
      <c r="D531" s="6">
        <v>2326331</v>
      </c>
      <c r="E531" s="6">
        <v>0</v>
      </c>
      <c r="F531" s="27">
        <f t="shared" si="52"/>
        <v>0</v>
      </c>
    </row>
    <row r="532" spans="1:6" ht="15.75" thickBot="1" x14ac:dyDescent="0.3">
      <c r="A532" s="5">
        <v>280505</v>
      </c>
      <c r="B532" s="5" t="s">
        <v>298</v>
      </c>
      <c r="C532" s="6">
        <v>6327825</v>
      </c>
      <c r="D532" s="6">
        <v>6327825</v>
      </c>
      <c r="E532" s="6">
        <v>0</v>
      </c>
      <c r="F532" s="27">
        <f t="shared" si="52"/>
        <v>0</v>
      </c>
    </row>
    <row r="533" spans="1:6" ht="15.75" thickBot="1" x14ac:dyDescent="0.3">
      <c r="A533" s="5">
        <v>280505</v>
      </c>
      <c r="B533" s="5" t="s">
        <v>299</v>
      </c>
      <c r="C533" s="6">
        <v>0</v>
      </c>
      <c r="D533" s="6">
        <v>0</v>
      </c>
      <c r="E533" s="6">
        <v>8014650</v>
      </c>
      <c r="F533" s="27">
        <f t="shared" si="52"/>
        <v>8014650</v>
      </c>
    </row>
    <row r="534" spans="1:6" ht="15.75" thickBot="1" x14ac:dyDescent="0.3">
      <c r="A534" s="5">
        <v>280505</v>
      </c>
      <c r="B534" s="5" t="s">
        <v>300</v>
      </c>
      <c r="C534" s="6">
        <v>6561532</v>
      </c>
      <c r="D534" s="6">
        <v>0</v>
      </c>
      <c r="E534" s="6">
        <v>0</v>
      </c>
      <c r="F534" s="27">
        <f t="shared" si="52"/>
        <v>6561532</v>
      </c>
    </row>
    <row r="535" spans="1:6" ht="15.75" thickBot="1" x14ac:dyDescent="0.3">
      <c r="A535" s="5">
        <v>280505</v>
      </c>
      <c r="B535" s="5" t="s">
        <v>244</v>
      </c>
      <c r="C535" s="6">
        <v>0</v>
      </c>
      <c r="D535" s="6">
        <v>0</v>
      </c>
      <c r="E535" s="6">
        <v>5100894</v>
      </c>
      <c r="F535" s="27">
        <f t="shared" si="52"/>
        <v>5100894</v>
      </c>
    </row>
    <row r="536" spans="1:6" ht="15.75" thickBot="1" x14ac:dyDescent="0.3">
      <c r="A536" s="5">
        <v>280505</v>
      </c>
      <c r="B536" s="5" t="s">
        <v>245</v>
      </c>
      <c r="C536" s="6">
        <v>0</v>
      </c>
      <c r="D536" s="6">
        <v>0</v>
      </c>
      <c r="E536" s="6">
        <v>56210173</v>
      </c>
      <c r="F536" s="27">
        <f t="shared" si="52"/>
        <v>56210173</v>
      </c>
    </row>
    <row r="537" spans="1:6" ht="15.75" thickBot="1" x14ac:dyDescent="0.3">
      <c r="A537" s="5">
        <v>280505</v>
      </c>
      <c r="B537" s="5" t="s">
        <v>247</v>
      </c>
      <c r="C537" s="6">
        <v>178500</v>
      </c>
      <c r="D537" s="6">
        <v>0</v>
      </c>
      <c r="E537" s="6">
        <v>0</v>
      </c>
      <c r="F537" s="27">
        <f t="shared" si="52"/>
        <v>178500</v>
      </c>
    </row>
    <row r="538" spans="1:6" ht="15.75" thickBot="1" x14ac:dyDescent="0.3">
      <c r="A538" s="5">
        <v>280505</v>
      </c>
      <c r="B538" s="5" t="s">
        <v>301</v>
      </c>
      <c r="C538" s="6">
        <v>0</v>
      </c>
      <c r="D538" s="6">
        <v>0</v>
      </c>
      <c r="E538" s="6">
        <v>9782400</v>
      </c>
      <c r="F538" s="27">
        <f t="shared" si="52"/>
        <v>9782400</v>
      </c>
    </row>
    <row r="539" spans="1:6" ht="15.75" thickBot="1" x14ac:dyDescent="0.3">
      <c r="A539" s="5">
        <v>280505</v>
      </c>
      <c r="B539" s="5" t="s">
        <v>302</v>
      </c>
      <c r="C539" s="6">
        <v>0</v>
      </c>
      <c r="D539" s="6">
        <v>0</v>
      </c>
      <c r="E539" s="6">
        <v>5400700</v>
      </c>
      <c r="F539" s="27">
        <f t="shared" si="52"/>
        <v>5400700</v>
      </c>
    </row>
    <row r="540" spans="1:6" ht="15.75" thickBot="1" x14ac:dyDescent="0.3">
      <c r="A540" s="5">
        <v>280505</v>
      </c>
      <c r="B540" s="5" t="s">
        <v>303</v>
      </c>
      <c r="C540" s="6">
        <v>12000000</v>
      </c>
      <c r="D540" s="6">
        <v>12000000</v>
      </c>
      <c r="E540" s="6">
        <v>0</v>
      </c>
      <c r="F540" s="27">
        <f t="shared" si="52"/>
        <v>0</v>
      </c>
    </row>
    <row r="541" spans="1:6" ht="15.75" thickBot="1" x14ac:dyDescent="0.3">
      <c r="A541" s="5">
        <v>280505</v>
      </c>
      <c r="B541" s="5" t="s">
        <v>248</v>
      </c>
      <c r="C541" s="6">
        <v>0</v>
      </c>
      <c r="D541" s="6">
        <v>85981568</v>
      </c>
      <c r="E541" s="6">
        <v>85981568</v>
      </c>
      <c r="F541" s="27">
        <f t="shared" si="52"/>
        <v>0</v>
      </c>
    </row>
    <row r="542" spans="1:6" ht="15.75" thickBot="1" x14ac:dyDescent="0.3">
      <c r="A542" s="5">
        <v>280505</v>
      </c>
      <c r="B542" s="5" t="s">
        <v>218</v>
      </c>
      <c r="C542" s="6">
        <v>32785122</v>
      </c>
      <c r="D542" s="6">
        <v>0</v>
      </c>
      <c r="E542" s="6">
        <v>0</v>
      </c>
      <c r="F542" s="27">
        <f t="shared" si="52"/>
        <v>32785122</v>
      </c>
    </row>
    <row r="543" spans="1:6" ht="15.75" thickBot="1" x14ac:dyDescent="0.3">
      <c r="A543" s="5">
        <v>280505</v>
      </c>
      <c r="B543" s="5" t="s">
        <v>304</v>
      </c>
      <c r="C543" s="6">
        <v>0</v>
      </c>
      <c r="D543" s="6">
        <v>0</v>
      </c>
      <c r="E543" s="6">
        <v>792000</v>
      </c>
      <c r="F543" s="27">
        <f t="shared" si="52"/>
        <v>792000</v>
      </c>
    </row>
    <row r="544" spans="1:6" ht="15.75" thickBot="1" x14ac:dyDescent="0.3">
      <c r="A544" s="5">
        <v>280505</v>
      </c>
      <c r="B544" s="5" t="s">
        <v>305</v>
      </c>
      <c r="C544" s="6">
        <v>1206660</v>
      </c>
      <c r="D544" s="6">
        <v>0</v>
      </c>
      <c r="E544" s="6">
        <v>0</v>
      </c>
      <c r="F544" s="27">
        <f t="shared" si="52"/>
        <v>1206660</v>
      </c>
    </row>
    <row r="545" spans="1:6" ht="15.75" thickBot="1" x14ac:dyDescent="0.3">
      <c r="A545" s="5">
        <v>280505</v>
      </c>
      <c r="B545" s="5" t="s">
        <v>249</v>
      </c>
      <c r="C545" s="6">
        <v>0</v>
      </c>
      <c r="D545" s="6">
        <v>0</v>
      </c>
      <c r="E545" s="6">
        <v>5355000</v>
      </c>
      <c r="F545" s="27">
        <f t="shared" si="52"/>
        <v>5355000</v>
      </c>
    </row>
    <row r="546" spans="1:6" ht="15.75" thickBot="1" x14ac:dyDescent="0.3">
      <c r="A546" s="5">
        <v>280505</v>
      </c>
      <c r="B546" s="5" t="s">
        <v>306</v>
      </c>
      <c r="C546" s="6">
        <v>0</v>
      </c>
      <c r="D546" s="6">
        <v>0</v>
      </c>
      <c r="E546" s="6">
        <v>3819900</v>
      </c>
      <c r="F546" s="27">
        <f t="shared" si="52"/>
        <v>3819900</v>
      </c>
    </row>
    <row r="547" spans="1:6" ht="15.75" thickBot="1" x14ac:dyDescent="0.3">
      <c r="A547" s="5">
        <v>280505</v>
      </c>
      <c r="B547" s="5" t="s">
        <v>307</v>
      </c>
      <c r="C547" s="6">
        <v>3418500</v>
      </c>
      <c r="D547" s="6">
        <v>0</v>
      </c>
      <c r="E547" s="6">
        <v>0</v>
      </c>
      <c r="F547" s="27">
        <f t="shared" si="52"/>
        <v>3418500</v>
      </c>
    </row>
    <row r="548" spans="1:6" ht="15.75" thickBot="1" x14ac:dyDescent="0.3">
      <c r="A548" s="5">
        <v>280505</v>
      </c>
      <c r="B548" s="5" t="s">
        <v>250</v>
      </c>
      <c r="C548" s="6">
        <v>0</v>
      </c>
      <c r="D548" s="6">
        <v>30135906</v>
      </c>
      <c r="E548" s="6">
        <v>38817786</v>
      </c>
      <c r="F548" s="27">
        <f t="shared" si="52"/>
        <v>8681880</v>
      </c>
    </row>
    <row r="549" spans="1:6" ht="15.75" thickBot="1" x14ac:dyDescent="0.3">
      <c r="A549" s="5">
        <v>280505</v>
      </c>
      <c r="B549" s="5" t="s">
        <v>251</v>
      </c>
      <c r="C549" s="6">
        <v>2585137</v>
      </c>
      <c r="D549" s="6">
        <v>2585137</v>
      </c>
      <c r="E549" s="6">
        <v>0</v>
      </c>
      <c r="F549" s="27">
        <f t="shared" si="52"/>
        <v>0</v>
      </c>
    </row>
    <row r="550" spans="1:6" ht="15.75" thickBot="1" x14ac:dyDescent="0.3">
      <c r="A550" s="5">
        <v>280505</v>
      </c>
      <c r="B550" s="5" t="s">
        <v>308</v>
      </c>
      <c r="C550" s="6">
        <v>0</v>
      </c>
      <c r="D550" s="6">
        <v>0</v>
      </c>
      <c r="E550" s="6">
        <v>7756941</v>
      </c>
      <c r="F550" s="27">
        <f t="shared" si="52"/>
        <v>7756941</v>
      </c>
    </row>
    <row r="551" spans="1:6" ht="15.75" thickBot="1" x14ac:dyDescent="0.3">
      <c r="A551" s="5">
        <v>280505</v>
      </c>
      <c r="B551" s="5" t="s">
        <v>253</v>
      </c>
      <c r="C551" s="6">
        <v>0</v>
      </c>
      <c r="D551" s="6">
        <v>15625303</v>
      </c>
      <c r="E551" s="6">
        <v>15625303</v>
      </c>
      <c r="F551" s="27">
        <f t="shared" si="52"/>
        <v>0</v>
      </c>
    </row>
    <row r="552" spans="1:6" ht="15.75" thickBot="1" x14ac:dyDescent="0.3">
      <c r="A552" s="5">
        <v>280505</v>
      </c>
      <c r="B552" s="5" t="s">
        <v>255</v>
      </c>
      <c r="C552" s="6">
        <v>67622855</v>
      </c>
      <c r="D552" s="6">
        <v>0</v>
      </c>
      <c r="E552" s="6">
        <v>19204709</v>
      </c>
      <c r="F552" s="27">
        <f t="shared" si="52"/>
        <v>86827564</v>
      </c>
    </row>
    <row r="553" spans="1:6" ht="15.75" thickBot="1" x14ac:dyDescent="0.3">
      <c r="A553" s="5">
        <v>280505</v>
      </c>
      <c r="B553" s="5" t="s">
        <v>256</v>
      </c>
      <c r="C553" s="6">
        <v>15323528</v>
      </c>
      <c r="D553" s="6">
        <v>0</v>
      </c>
      <c r="E553" s="6">
        <v>7563018</v>
      </c>
      <c r="F553" s="27">
        <f t="shared" si="52"/>
        <v>22886546</v>
      </c>
    </row>
    <row r="554" spans="1:6" ht="15.75" thickBot="1" x14ac:dyDescent="0.3">
      <c r="A554" s="5">
        <v>280505</v>
      </c>
      <c r="B554" s="5" t="s">
        <v>309</v>
      </c>
      <c r="C554" s="6">
        <v>967116</v>
      </c>
      <c r="D554" s="6">
        <v>0</v>
      </c>
      <c r="E554" s="6">
        <v>0</v>
      </c>
      <c r="F554" s="27">
        <f t="shared" si="52"/>
        <v>967116</v>
      </c>
    </row>
    <row r="555" spans="1:6" ht="15.75" thickBot="1" x14ac:dyDescent="0.3">
      <c r="A555" s="5">
        <v>280505</v>
      </c>
      <c r="B555" s="5" t="s">
        <v>310</v>
      </c>
      <c r="C555" s="6">
        <v>3580710</v>
      </c>
      <c r="D555" s="6">
        <v>3580710</v>
      </c>
      <c r="E555" s="6">
        <v>0</v>
      </c>
      <c r="F555" s="27">
        <f t="shared" si="52"/>
        <v>0</v>
      </c>
    </row>
    <row r="556" spans="1:6" ht="15.75" thickBot="1" x14ac:dyDescent="0.3">
      <c r="A556" s="5">
        <v>280505</v>
      </c>
      <c r="B556" s="5" t="s">
        <v>258</v>
      </c>
      <c r="C556" s="6">
        <v>0</v>
      </c>
      <c r="D556" s="6">
        <v>2903406</v>
      </c>
      <c r="E556" s="6">
        <v>3474606</v>
      </c>
      <c r="F556" s="27">
        <f t="shared" ref="F556:F592" si="56">+C556+E556-D556</f>
        <v>571200</v>
      </c>
    </row>
    <row r="557" spans="1:6" ht="15.75" thickBot="1" x14ac:dyDescent="0.3">
      <c r="A557" s="5">
        <v>280505</v>
      </c>
      <c r="B557" s="5" t="s">
        <v>311</v>
      </c>
      <c r="C557" s="6">
        <v>1527744</v>
      </c>
      <c r="D557" s="6">
        <v>0</v>
      </c>
      <c r="E557" s="6">
        <v>0</v>
      </c>
      <c r="F557" s="27">
        <f t="shared" si="56"/>
        <v>1527744</v>
      </c>
    </row>
    <row r="558" spans="1:6" ht="15.75" thickBot="1" x14ac:dyDescent="0.3">
      <c r="A558" s="5">
        <v>280505</v>
      </c>
      <c r="B558" s="5" t="s">
        <v>312</v>
      </c>
      <c r="C558" s="6">
        <v>22109012</v>
      </c>
      <c r="D558" s="6">
        <v>0</v>
      </c>
      <c r="E558" s="6">
        <v>0</v>
      </c>
      <c r="F558" s="27">
        <f t="shared" si="56"/>
        <v>22109012</v>
      </c>
    </row>
    <row r="559" spans="1:6" ht="15.75" thickBot="1" x14ac:dyDescent="0.3">
      <c r="A559" s="15">
        <v>2825</v>
      </c>
      <c r="B559" s="15" t="s">
        <v>315</v>
      </c>
      <c r="C559" s="24">
        <f>+SUM(C560)</f>
        <v>0</v>
      </c>
      <c r="D559" s="24">
        <f t="shared" ref="D559:F559" si="57">+SUM(D560)</f>
        <v>0</v>
      </c>
      <c r="E559" s="24">
        <f t="shared" si="57"/>
        <v>4417079</v>
      </c>
      <c r="F559" s="24">
        <f t="shared" si="57"/>
        <v>4417079</v>
      </c>
    </row>
    <row r="560" spans="1:6" ht="15.75" thickBot="1" x14ac:dyDescent="0.3">
      <c r="A560" s="5">
        <v>282505</v>
      </c>
      <c r="B560" s="5" t="s">
        <v>313</v>
      </c>
      <c r="C560" s="6">
        <v>0</v>
      </c>
      <c r="D560" s="6">
        <v>0</v>
      </c>
      <c r="E560" s="6">
        <v>4417079</v>
      </c>
      <c r="F560" s="27">
        <f t="shared" si="56"/>
        <v>4417079</v>
      </c>
    </row>
    <row r="561" spans="1:6" ht="15.75" thickBot="1" x14ac:dyDescent="0.3">
      <c r="A561" s="4">
        <v>3</v>
      </c>
      <c r="B561" s="4" t="s">
        <v>316</v>
      </c>
      <c r="C561" s="3">
        <f>+C563+C565+C567+C571</f>
        <v>53808647.715999991</v>
      </c>
      <c r="D561" s="3">
        <f t="shared" ref="D561:F561" si="58">+D563+D565+D567+D571</f>
        <v>21447875.600000001</v>
      </c>
      <c r="E561" s="3">
        <f t="shared" si="58"/>
        <v>21447875.600000001</v>
      </c>
      <c r="F561" s="3">
        <f t="shared" si="58"/>
        <v>53808647.715999991</v>
      </c>
    </row>
    <row r="562" spans="1:6" ht="15.75" thickBot="1" x14ac:dyDescent="0.3">
      <c r="A562" s="4">
        <v>31</v>
      </c>
      <c r="B562" s="4" t="s">
        <v>317</v>
      </c>
      <c r="C562" s="3">
        <f>+C563</f>
        <v>3000000</v>
      </c>
      <c r="D562" s="3">
        <f t="shared" ref="D562:E562" si="59">+D563</f>
        <v>0</v>
      </c>
      <c r="E562" s="3">
        <f t="shared" si="59"/>
        <v>0</v>
      </c>
      <c r="F562" s="3">
        <f t="shared" si="56"/>
        <v>3000000</v>
      </c>
    </row>
    <row r="563" spans="1:6" ht="15.75" thickBot="1" x14ac:dyDescent="0.3">
      <c r="A563" s="15">
        <v>3105</v>
      </c>
      <c r="B563" s="15" t="s">
        <v>318</v>
      </c>
      <c r="C563" s="24">
        <v>3000000</v>
      </c>
      <c r="D563" s="24">
        <v>0</v>
      </c>
      <c r="E563" s="24">
        <v>0</v>
      </c>
      <c r="F563" s="24">
        <f t="shared" si="56"/>
        <v>3000000</v>
      </c>
    </row>
    <row r="564" spans="1:6" ht="15.75" thickBot="1" x14ac:dyDescent="0.3">
      <c r="A564" s="4">
        <v>32</v>
      </c>
      <c r="B564" s="4" t="s">
        <v>319</v>
      </c>
      <c r="C564" s="3">
        <f>+C565</f>
        <v>234894062</v>
      </c>
      <c r="D564" s="3">
        <f t="shared" ref="D564:F564" si="60">+D565</f>
        <v>0</v>
      </c>
      <c r="E564" s="3">
        <f t="shared" si="60"/>
        <v>0</v>
      </c>
      <c r="F564" s="3">
        <f t="shared" si="60"/>
        <v>234894062</v>
      </c>
    </row>
    <row r="565" spans="1:6" ht="15.75" thickBot="1" x14ac:dyDescent="0.3">
      <c r="A565" s="15">
        <v>3205</v>
      </c>
      <c r="B565" s="15" t="s">
        <v>320</v>
      </c>
      <c r="C565" s="24">
        <v>234894062</v>
      </c>
      <c r="D565" s="24">
        <v>0</v>
      </c>
      <c r="E565" s="24">
        <v>0</v>
      </c>
      <c r="F565" s="24">
        <v>234894062</v>
      </c>
    </row>
    <row r="566" spans="1:6" ht="15.75" thickBot="1" x14ac:dyDescent="0.3">
      <c r="A566" s="4">
        <v>36</v>
      </c>
      <c r="B566" s="4" t="s">
        <v>319</v>
      </c>
      <c r="C566" s="3">
        <f>+C567</f>
        <v>-21447875.604000002</v>
      </c>
      <c r="D566" s="3">
        <f t="shared" ref="D566:E566" si="61">+D567</f>
        <v>0</v>
      </c>
      <c r="E566" s="3">
        <f t="shared" si="61"/>
        <v>21447875.600000001</v>
      </c>
      <c r="F566" s="3">
        <f>+C566+E566-D566</f>
        <v>-4.0000006556510925E-3</v>
      </c>
    </row>
    <row r="567" spans="1:6" ht="15.75" thickBot="1" x14ac:dyDescent="0.3">
      <c r="A567" s="15">
        <v>3605</v>
      </c>
      <c r="B567" s="15" t="s">
        <v>321</v>
      </c>
      <c r="C567" s="24">
        <f>+SUM(C568:C569)</f>
        <v>-21447875.604000002</v>
      </c>
      <c r="D567" s="24">
        <f t="shared" ref="D567:F567" si="62">+SUM(D568:D569)</f>
        <v>0</v>
      </c>
      <c r="E567" s="24">
        <f t="shared" si="62"/>
        <v>21447875.600000001</v>
      </c>
      <c r="F567" s="24">
        <f t="shared" si="62"/>
        <v>-4.0000000000000001E-3</v>
      </c>
    </row>
    <row r="568" spans="1:6" ht="15.75" thickBot="1" x14ac:dyDescent="0.3">
      <c r="A568" s="25">
        <v>360505</v>
      </c>
      <c r="B568" s="25" t="s">
        <v>322</v>
      </c>
      <c r="C568" s="26">
        <v>-4.0000000000000001E-3</v>
      </c>
      <c r="D568" s="26">
        <v>0</v>
      </c>
      <c r="E568" s="26">
        <v>0</v>
      </c>
      <c r="F568" s="26">
        <f>+C568+E568-D568</f>
        <v>-4.0000000000000001E-3</v>
      </c>
    </row>
    <row r="569" spans="1:6" ht="15.75" thickBot="1" x14ac:dyDescent="0.3">
      <c r="A569" s="25">
        <v>361005</v>
      </c>
      <c r="B569" s="25" t="s">
        <v>323</v>
      </c>
      <c r="C569" s="6">
        <v>-21447875.600000001</v>
      </c>
      <c r="D569" s="6">
        <v>0</v>
      </c>
      <c r="E569" s="6">
        <v>21447875.600000001</v>
      </c>
      <c r="F569" s="6">
        <f>+C569+E569-D569</f>
        <v>0</v>
      </c>
    </row>
    <row r="570" spans="1:6" ht="15.75" thickBot="1" x14ac:dyDescent="0.3">
      <c r="A570" s="4">
        <v>37</v>
      </c>
      <c r="B570" s="4" t="s">
        <v>324</v>
      </c>
      <c r="C570" s="3">
        <f>+C571</f>
        <v>-162637538.68000001</v>
      </c>
      <c r="D570" s="3">
        <f>+D574</f>
        <v>21447875.600000001</v>
      </c>
      <c r="E570" s="3"/>
      <c r="F570" s="3">
        <f>+C570+E570-D570</f>
        <v>-184085414.28</v>
      </c>
    </row>
    <row r="571" spans="1:6" ht="15.75" thickBot="1" x14ac:dyDescent="0.3">
      <c r="A571" s="15">
        <v>3705</v>
      </c>
      <c r="B571" s="15" t="s">
        <v>325</v>
      </c>
      <c r="C571" s="24">
        <f>+SUM(C572:C574)</f>
        <v>-162637538.68000001</v>
      </c>
      <c r="D571" s="24">
        <f>+SUM(D572:D574)</f>
        <v>21447875.600000001</v>
      </c>
      <c r="E571" s="24">
        <f>+SUM(E572:E574)</f>
        <v>0</v>
      </c>
      <c r="F571" s="24">
        <f>+SUM(F572:F574)</f>
        <v>-184085414.28</v>
      </c>
    </row>
    <row r="572" spans="1:6" ht="15.75" thickBot="1" x14ac:dyDescent="0.3">
      <c r="A572" s="25">
        <v>370505</v>
      </c>
      <c r="B572" s="25" t="s">
        <v>325</v>
      </c>
      <c r="C572" s="26">
        <v>69301295.900000006</v>
      </c>
      <c r="D572" s="26">
        <v>0</v>
      </c>
      <c r="E572" s="26">
        <v>0</v>
      </c>
      <c r="F572" s="26">
        <f t="shared" si="56"/>
        <v>69301295.900000006</v>
      </c>
    </row>
    <row r="573" spans="1:6" ht="15.75" thickBot="1" x14ac:dyDescent="0.3">
      <c r="A573" s="5">
        <v>370506</v>
      </c>
      <c r="B573" s="5" t="s">
        <v>327</v>
      </c>
      <c r="C573" s="6">
        <v>-67571687</v>
      </c>
      <c r="D573" s="6">
        <v>0</v>
      </c>
      <c r="E573" s="6">
        <v>0</v>
      </c>
      <c r="F573" s="6">
        <f t="shared" si="56"/>
        <v>-67571687</v>
      </c>
    </row>
    <row r="574" spans="1:6" ht="15.75" thickBot="1" x14ac:dyDescent="0.3">
      <c r="A574" s="25">
        <v>371005</v>
      </c>
      <c r="B574" s="25" t="s">
        <v>326</v>
      </c>
      <c r="C574" s="26">
        <v>-164367147.58000001</v>
      </c>
      <c r="D574" s="26">
        <v>21447875.600000001</v>
      </c>
      <c r="E574" s="26">
        <v>0</v>
      </c>
      <c r="F574" s="26">
        <f t="shared" si="56"/>
        <v>-185815023.18000001</v>
      </c>
    </row>
    <row r="575" spans="1:6" ht="15.75" thickBot="1" x14ac:dyDescent="0.3">
      <c r="A575" s="4">
        <v>4</v>
      </c>
      <c r="B575" s="4" t="s">
        <v>328</v>
      </c>
      <c r="C575" s="3"/>
      <c r="D575" s="3">
        <f>+D576</f>
        <v>7189800</v>
      </c>
      <c r="E575" s="3">
        <f>+E576+E585</f>
        <v>413578336.23000002</v>
      </c>
      <c r="F575" s="3">
        <f>+C575+E575-D575</f>
        <v>406388536.23000002</v>
      </c>
    </row>
    <row r="576" spans="1:6" ht="15.75" thickBot="1" x14ac:dyDescent="0.3">
      <c r="A576" s="4">
        <v>41</v>
      </c>
      <c r="B576" s="4" t="s">
        <v>329</v>
      </c>
      <c r="C576" s="3"/>
      <c r="D576" s="3">
        <f>+D577+D579+D582</f>
        <v>7189800</v>
      </c>
      <c r="E576" s="3">
        <f>+E577+E579+E582</f>
        <v>410617673</v>
      </c>
      <c r="F576" s="3">
        <f>+F577+F579+F582</f>
        <v>403427873</v>
      </c>
    </row>
    <row r="577" spans="1:6" ht="15.75" thickBot="1" x14ac:dyDescent="0.3">
      <c r="A577" s="15">
        <v>4120</v>
      </c>
      <c r="B577" s="15" t="s">
        <v>342</v>
      </c>
      <c r="C577" s="24">
        <f>+SUM(C578)</f>
        <v>0</v>
      </c>
      <c r="D577" s="24">
        <f t="shared" ref="D577:F577" si="63">+SUM(D578)</f>
        <v>0</v>
      </c>
      <c r="E577" s="24">
        <f t="shared" si="63"/>
        <v>209276803</v>
      </c>
      <c r="F577" s="24">
        <f t="shared" si="63"/>
        <v>209276803</v>
      </c>
    </row>
    <row r="578" spans="1:6" ht="15.75" thickBot="1" x14ac:dyDescent="0.3">
      <c r="A578" s="25">
        <v>412033</v>
      </c>
      <c r="B578" s="25" t="s">
        <v>330</v>
      </c>
      <c r="C578" s="26">
        <v>0</v>
      </c>
      <c r="D578" s="26">
        <v>0</v>
      </c>
      <c r="E578" s="26">
        <v>209276803</v>
      </c>
      <c r="F578" s="26">
        <f t="shared" si="56"/>
        <v>209276803</v>
      </c>
    </row>
    <row r="579" spans="1:6" ht="15.75" thickBot="1" x14ac:dyDescent="0.3">
      <c r="A579" s="15">
        <v>4130</v>
      </c>
      <c r="B579" s="15" t="s">
        <v>331</v>
      </c>
      <c r="C579" s="24">
        <f>+SUM(C580:C581)</f>
        <v>0</v>
      </c>
      <c r="D579" s="24">
        <f>+SUM(D580:D581)</f>
        <v>0</v>
      </c>
      <c r="E579" s="24">
        <f>+SUM(E580:E581)</f>
        <v>201340870</v>
      </c>
      <c r="F579" s="24">
        <f>+SUM(F580:F581)</f>
        <v>201340870</v>
      </c>
    </row>
    <row r="580" spans="1:6" ht="15.75" thickBot="1" x14ac:dyDescent="0.3">
      <c r="A580" s="18">
        <v>413095</v>
      </c>
      <c r="B580" s="18" t="s">
        <v>332</v>
      </c>
      <c r="C580" s="28">
        <v>0</v>
      </c>
      <c r="D580" s="28">
        <v>0</v>
      </c>
      <c r="E580" s="28">
        <v>181206783</v>
      </c>
      <c r="F580" s="28">
        <f t="shared" si="56"/>
        <v>181206783</v>
      </c>
    </row>
    <row r="581" spans="1:6" ht="15.75" thickBot="1" x14ac:dyDescent="0.3">
      <c r="A581" s="18">
        <v>413096</v>
      </c>
      <c r="B581" s="18" t="s">
        <v>333</v>
      </c>
      <c r="C581" s="28">
        <v>0</v>
      </c>
      <c r="D581" s="28">
        <v>0</v>
      </c>
      <c r="E581" s="28">
        <v>20134087</v>
      </c>
      <c r="F581" s="28">
        <f t="shared" si="56"/>
        <v>20134087</v>
      </c>
    </row>
    <row r="582" spans="1:6" ht="15.75" thickBot="1" x14ac:dyDescent="0.3">
      <c r="A582" s="15">
        <v>4175</v>
      </c>
      <c r="B582" s="15" t="s">
        <v>345</v>
      </c>
      <c r="C582" s="24">
        <f>+SUM(C583:C584)</f>
        <v>0</v>
      </c>
      <c r="D582" s="24">
        <f t="shared" ref="D582:F582" si="64">+SUM(D583:D584)</f>
        <v>7189800</v>
      </c>
      <c r="E582" s="24">
        <f t="shared" si="64"/>
        <v>0</v>
      </c>
      <c r="F582" s="24">
        <f t="shared" si="64"/>
        <v>-7189800</v>
      </c>
    </row>
    <row r="583" spans="1:6" ht="15.75" thickBot="1" x14ac:dyDescent="0.3">
      <c r="A583" s="5">
        <v>417501</v>
      </c>
      <c r="B583" s="5" t="s">
        <v>343</v>
      </c>
      <c r="C583" s="6">
        <v>0</v>
      </c>
      <c r="D583" s="6">
        <v>635000</v>
      </c>
      <c r="E583" s="6">
        <v>0</v>
      </c>
      <c r="F583" s="6">
        <f t="shared" si="56"/>
        <v>-635000</v>
      </c>
    </row>
    <row r="584" spans="1:6" ht="15.75" thickBot="1" x14ac:dyDescent="0.3">
      <c r="A584" s="5"/>
      <c r="B584" s="5" t="s">
        <v>344</v>
      </c>
      <c r="C584" s="6">
        <v>0</v>
      </c>
      <c r="D584" s="6">
        <v>6554800</v>
      </c>
      <c r="E584" s="6">
        <v>0</v>
      </c>
      <c r="F584" s="6">
        <f t="shared" si="56"/>
        <v>-6554800</v>
      </c>
    </row>
    <row r="585" spans="1:6" ht="15.75" thickBot="1" x14ac:dyDescent="0.3">
      <c r="A585" s="4">
        <v>42</v>
      </c>
      <c r="B585" s="4" t="s">
        <v>334</v>
      </c>
      <c r="C585" s="3"/>
      <c r="D585" s="3"/>
      <c r="E585" s="3">
        <f>+E586+E588+E591</f>
        <v>2960663.23</v>
      </c>
      <c r="F585" s="3">
        <f>+C585+E585-D585</f>
        <v>2960663.23</v>
      </c>
    </row>
    <row r="586" spans="1:6" ht="15.75" thickBot="1" x14ac:dyDescent="0.3">
      <c r="A586" s="15">
        <v>4210</v>
      </c>
      <c r="B586" s="15" t="s">
        <v>335</v>
      </c>
      <c r="C586" s="24"/>
      <c r="D586" s="24"/>
      <c r="E586" s="24">
        <f>+E587</f>
        <v>7604.23</v>
      </c>
      <c r="F586" s="24">
        <f>+C586+E586-D586</f>
        <v>7604.23</v>
      </c>
    </row>
    <row r="587" spans="1:6" ht="15.75" thickBot="1" x14ac:dyDescent="0.3">
      <c r="A587" s="25">
        <v>421005</v>
      </c>
      <c r="B587" s="25" t="s">
        <v>336</v>
      </c>
      <c r="C587" s="26">
        <v>0</v>
      </c>
      <c r="D587" s="26">
        <v>0</v>
      </c>
      <c r="E587" s="26">
        <v>7604.23</v>
      </c>
      <c r="F587" s="26">
        <f t="shared" si="56"/>
        <v>7604.23</v>
      </c>
    </row>
    <row r="588" spans="1:6" ht="15.75" thickBot="1" x14ac:dyDescent="0.3">
      <c r="A588" s="15">
        <v>4250</v>
      </c>
      <c r="B588" s="15" t="s">
        <v>337</v>
      </c>
      <c r="C588" s="24"/>
      <c r="D588" s="24"/>
      <c r="E588" s="24">
        <f>+E589+E590</f>
        <v>2952804</v>
      </c>
      <c r="F588" s="24">
        <f>+C588+E588-D588</f>
        <v>2952804</v>
      </c>
    </row>
    <row r="589" spans="1:6" ht="15.75" thickBot="1" x14ac:dyDescent="0.3">
      <c r="A589" s="25">
        <v>425035</v>
      </c>
      <c r="B589" s="25" t="s">
        <v>338</v>
      </c>
      <c r="C589" s="26">
        <v>0</v>
      </c>
      <c r="D589" s="26">
        <v>0</v>
      </c>
      <c r="E589" s="26">
        <v>201211</v>
      </c>
      <c r="F589" s="26">
        <f t="shared" si="56"/>
        <v>201211</v>
      </c>
    </row>
    <row r="590" spans="1:6" ht="15.75" thickBot="1" x14ac:dyDescent="0.3">
      <c r="A590" s="25">
        <v>425050</v>
      </c>
      <c r="B590" s="25" t="s">
        <v>339</v>
      </c>
      <c r="C590" s="26">
        <v>0</v>
      </c>
      <c r="D590" s="26">
        <v>0</v>
      </c>
      <c r="E590" s="26">
        <v>2751593</v>
      </c>
      <c r="F590" s="26">
        <v>2751593</v>
      </c>
    </row>
    <row r="591" spans="1:6" ht="15.75" thickBot="1" x14ac:dyDescent="0.3">
      <c r="A591" s="15">
        <v>4295</v>
      </c>
      <c r="B591" s="15" t="s">
        <v>340</v>
      </c>
      <c r="C591" s="24"/>
      <c r="D591" s="24"/>
      <c r="E591" s="24">
        <f>+E592</f>
        <v>255</v>
      </c>
      <c r="F591" s="24">
        <f t="shared" si="56"/>
        <v>255</v>
      </c>
    </row>
    <row r="592" spans="1:6" ht="15.75" thickBot="1" x14ac:dyDescent="0.3">
      <c r="A592" s="25">
        <v>429581</v>
      </c>
      <c r="B592" s="25" t="s">
        <v>341</v>
      </c>
      <c r="C592" s="26">
        <v>0</v>
      </c>
      <c r="D592" s="26">
        <v>0</v>
      </c>
      <c r="E592" s="26">
        <v>255</v>
      </c>
      <c r="F592" s="26">
        <f t="shared" si="56"/>
        <v>255</v>
      </c>
    </row>
    <row r="593" spans="1:6" ht="15.75" thickBot="1" x14ac:dyDescent="0.3">
      <c r="A593" s="4">
        <v>5</v>
      </c>
      <c r="B593" s="4" t="s">
        <v>346</v>
      </c>
      <c r="C593" s="3"/>
      <c r="D593" s="3">
        <f>+D594+D692+D703</f>
        <v>65390271</v>
      </c>
      <c r="E593" s="3">
        <f t="shared" ref="E593:F593" si="65">+E594+E692+E703</f>
        <v>210000</v>
      </c>
      <c r="F593" s="3">
        <f t="shared" si="65"/>
        <v>65180271</v>
      </c>
    </row>
    <row r="594" spans="1:6" ht="15.75" thickBot="1" x14ac:dyDescent="0.3">
      <c r="A594" s="4">
        <v>51</v>
      </c>
      <c r="B594" s="4" t="s">
        <v>347</v>
      </c>
      <c r="C594" s="3"/>
      <c r="D594" s="3">
        <f>+D595+D630+D632+D639+D650+D658+D662+D667+D669</f>
        <v>55229968</v>
      </c>
      <c r="E594" s="3">
        <f t="shared" ref="E594:F594" si="66">+E595+E630+E632+E639+E650+E658+E662+E667+E669</f>
        <v>0</v>
      </c>
      <c r="F594" s="3">
        <f>+F595+F630+F632+F639+F650+F658+F662+F667+F669</f>
        <v>55229968</v>
      </c>
    </row>
    <row r="595" spans="1:6" ht="15.75" thickBot="1" x14ac:dyDescent="0.3">
      <c r="A595" s="15">
        <v>5105</v>
      </c>
      <c r="B595" s="15" t="s">
        <v>348</v>
      </c>
      <c r="C595" s="24"/>
      <c r="D595" s="24">
        <f>+D596+D600+D604+D608+D612+D616+D620+D624+D626+D628</f>
        <v>16564894</v>
      </c>
      <c r="E595" s="24"/>
      <c r="F595" s="24">
        <f>+D595</f>
        <v>16564894</v>
      </c>
    </row>
    <row r="596" spans="1:6" ht="15.75" thickBot="1" x14ac:dyDescent="0.3">
      <c r="A596" s="22">
        <v>510506</v>
      </c>
      <c r="B596" s="22" t="s">
        <v>288</v>
      </c>
      <c r="C596" s="29"/>
      <c r="D596" s="29">
        <f>+SUM(D597:D599)</f>
        <v>11000000</v>
      </c>
      <c r="E596" s="29">
        <f t="shared" ref="E596:F596" si="67">+SUM(E597:E599)</f>
        <v>0</v>
      </c>
      <c r="F596" s="29">
        <f>+C5942+D596-E596</f>
        <v>11000000</v>
      </c>
    </row>
    <row r="597" spans="1:6" ht="15.75" thickBot="1" x14ac:dyDescent="0.3">
      <c r="A597" s="5"/>
      <c r="B597" s="5" t="s">
        <v>262</v>
      </c>
      <c r="C597" s="6">
        <v>0</v>
      </c>
      <c r="D597" s="6">
        <v>9000000</v>
      </c>
      <c r="E597" s="6">
        <v>0</v>
      </c>
      <c r="F597" s="35">
        <f t="shared" ref="F597:F660" si="68">+C597+D597-E597</f>
        <v>9000000</v>
      </c>
    </row>
    <row r="598" spans="1:6" ht="15.75" thickBot="1" x14ac:dyDescent="0.3">
      <c r="A598" s="5"/>
      <c r="B598" s="5" t="s">
        <v>223</v>
      </c>
      <c r="C598" s="6">
        <v>0</v>
      </c>
      <c r="D598" s="6">
        <v>1000000</v>
      </c>
      <c r="E598" s="6">
        <v>0</v>
      </c>
      <c r="F598" s="35">
        <f t="shared" si="68"/>
        <v>1000000</v>
      </c>
    </row>
    <row r="599" spans="1:6" ht="15.75" thickBot="1" x14ac:dyDescent="0.3">
      <c r="A599" s="5"/>
      <c r="B599" s="5" t="s">
        <v>271</v>
      </c>
      <c r="C599" s="6">
        <v>0</v>
      </c>
      <c r="D599" s="6">
        <v>1000000</v>
      </c>
      <c r="E599" s="6">
        <v>0</v>
      </c>
      <c r="F599" s="35">
        <f t="shared" si="68"/>
        <v>1000000</v>
      </c>
    </row>
    <row r="600" spans="1:6" ht="15.75" thickBot="1" x14ac:dyDescent="0.3">
      <c r="A600" s="22">
        <v>510527</v>
      </c>
      <c r="B600" s="22" t="s">
        <v>349</v>
      </c>
      <c r="C600" s="29"/>
      <c r="D600" s="29">
        <f>+SUM(D601:D603)</f>
        <v>1288892</v>
      </c>
      <c r="E600" s="29">
        <f t="shared" ref="E600:F600" si="69">+SUM(E601:E603)</f>
        <v>0</v>
      </c>
      <c r="F600" s="29">
        <f t="shared" si="69"/>
        <v>1288892</v>
      </c>
    </row>
    <row r="601" spans="1:6" ht="15.75" thickBot="1" x14ac:dyDescent="0.3">
      <c r="A601" s="5"/>
      <c r="B601" s="5" t="s">
        <v>262</v>
      </c>
      <c r="C601" s="6">
        <v>0</v>
      </c>
      <c r="D601" s="6">
        <v>1054548</v>
      </c>
      <c r="E601" s="6">
        <v>0</v>
      </c>
      <c r="F601" s="35">
        <f t="shared" si="68"/>
        <v>1054548</v>
      </c>
    </row>
    <row r="602" spans="1:6" ht="15.75" thickBot="1" x14ac:dyDescent="0.3">
      <c r="A602" s="5"/>
      <c r="B602" s="5" t="s">
        <v>223</v>
      </c>
      <c r="C602" s="6">
        <v>0</v>
      </c>
      <c r="D602" s="6">
        <v>117172</v>
      </c>
      <c r="E602" s="6">
        <v>0</v>
      </c>
      <c r="F602" s="35">
        <f t="shared" si="68"/>
        <v>117172</v>
      </c>
    </row>
    <row r="603" spans="1:6" ht="15.75" thickBot="1" x14ac:dyDescent="0.3">
      <c r="A603" s="5"/>
      <c r="B603" s="5" t="s">
        <v>271</v>
      </c>
      <c r="C603" s="6">
        <v>0</v>
      </c>
      <c r="D603" s="6">
        <v>117172</v>
      </c>
      <c r="E603" s="6">
        <v>0</v>
      </c>
      <c r="F603" s="35">
        <f t="shared" si="68"/>
        <v>117172</v>
      </c>
    </row>
    <row r="604" spans="1:6" ht="15.75" thickBot="1" x14ac:dyDescent="0.3">
      <c r="A604" s="22">
        <v>510530</v>
      </c>
      <c r="B604" s="22" t="s">
        <v>350</v>
      </c>
      <c r="C604" s="29"/>
      <c r="D604" s="29">
        <f>+SUM(D605:D607)</f>
        <v>1023660</v>
      </c>
      <c r="E604" s="29">
        <f t="shared" ref="E604:F604" si="70">+SUM(E605:E607)</f>
        <v>0</v>
      </c>
      <c r="F604" s="29">
        <f t="shared" si="70"/>
        <v>1023660</v>
      </c>
    </row>
    <row r="605" spans="1:6" ht="15.75" thickBot="1" x14ac:dyDescent="0.3">
      <c r="A605" s="5"/>
      <c r="B605" s="5" t="s">
        <v>262</v>
      </c>
      <c r="C605" s="6">
        <v>0</v>
      </c>
      <c r="D605" s="6">
        <v>837540</v>
      </c>
      <c r="E605" s="6">
        <v>0</v>
      </c>
      <c r="F605" s="35">
        <f t="shared" si="68"/>
        <v>837540</v>
      </c>
    </row>
    <row r="606" spans="1:6" ht="15.75" thickBot="1" x14ac:dyDescent="0.3">
      <c r="A606" s="5"/>
      <c r="B606" s="5" t="s">
        <v>223</v>
      </c>
      <c r="C606" s="6">
        <v>0</v>
      </c>
      <c r="D606" s="6">
        <v>93060</v>
      </c>
      <c r="E606" s="6">
        <v>0</v>
      </c>
      <c r="F606" s="35">
        <f t="shared" si="68"/>
        <v>93060</v>
      </c>
    </row>
    <row r="607" spans="1:6" ht="15.75" thickBot="1" x14ac:dyDescent="0.3">
      <c r="A607" s="5"/>
      <c r="B607" s="5" t="s">
        <v>271</v>
      </c>
      <c r="C607" s="6">
        <v>0</v>
      </c>
      <c r="D607" s="6">
        <v>93060</v>
      </c>
      <c r="E607" s="6">
        <v>0</v>
      </c>
      <c r="F607" s="35">
        <f t="shared" si="68"/>
        <v>93060</v>
      </c>
    </row>
    <row r="608" spans="1:6" ht="15.75" thickBot="1" x14ac:dyDescent="0.3">
      <c r="A608" s="22">
        <v>510533</v>
      </c>
      <c r="B608" s="22" t="s">
        <v>351</v>
      </c>
      <c r="C608" s="29"/>
      <c r="D608" s="29">
        <f>+SUM(D609:D611)</f>
        <v>122892</v>
      </c>
      <c r="E608" s="29">
        <f t="shared" ref="E608:F608" si="71">+SUM(E609:E611)</f>
        <v>0</v>
      </c>
      <c r="F608" s="29">
        <f t="shared" si="71"/>
        <v>122892</v>
      </c>
    </row>
    <row r="609" spans="1:6" ht="15.75" thickBot="1" x14ac:dyDescent="0.3">
      <c r="A609" s="5"/>
      <c r="B609" s="5" t="s">
        <v>262</v>
      </c>
      <c r="C609" s="6">
        <v>0</v>
      </c>
      <c r="D609" s="6">
        <v>100548</v>
      </c>
      <c r="E609" s="6">
        <v>0</v>
      </c>
      <c r="F609" s="35">
        <f t="shared" si="68"/>
        <v>100548</v>
      </c>
    </row>
    <row r="610" spans="1:6" ht="15.75" thickBot="1" x14ac:dyDescent="0.3">
      <c r="A610" s="5"/>
      <c r="B610" s="5" t="s">
        <v>223</v>
      </c>
      <c r="C610" s="6">
        <v>0</v>
      </c>
      <c r="D610" s="6">
        <v>11172</v>
      </c>
      <c r="E610" s="6">
        <v>0</v>
      </c>
      <c r="F610" s="35">
        <f t="shared" si="68"/>
        <v>11172</v>
      </c>
    </row>
    <row r="611" spans="1:6" ht="15.75" thickBot="1" x14ac:dyDescent="0.3">
      <c r="A611" s="5"/>
      <c r="B611" s="5" t="s">
        <v>271</v>
      </c>
      <c r="C611" s="6">
        <v>0</v>
      </c>
      <c r="D611" s="6">
        <v>11172</v>
      </c>
      <c r="E611" s="6">
        <v>0</v>
      </c>
      <c r="F611" s="35">
        <f t="shared" si="68"/>
        <v>11172</v>
      </c>
    </row>
    <row r="612" spans="1:6" ht="15.75" thickBot="1" x14ac:dyDescent="0.3">
      <c r="A612" s="22">
        <v>510536</v>
      </c>
      <c r="B612" s="22" t="s">
        <v>294</v>
      </c>
      <c r="C612" s="29"/>
      <c r="D612" s="29">
        <f>+SUM(D613:D615)</f>
        <v>1023660</v>
      </c>
      <c r="E612" s="29">
        <f t="shared" ref="E612:F612" si="72">+SUM(E613:E615)</f>
        <v>0</v>
      </c>
      <c r="F612" s="29">
        <f t="shared" si="72"/>
        <v>1023660</v>
      </c>
    </row>
    <row r="613" spans="1:6" ht="15.75" thickBot="1" x14ac:dyDescent="0.3">
      <c r="A613" s="5"/>
      <c r="B613" s="5" t="s">
        <v>262</v>
      </c>
      <c r="C613" s="6">
        <v>0</v>
      </c>
      <c r="D613" s="6">
        <v>837540</v>
      </c>
      <c r="E613" s="6">
        <v>0</v>
      </c>
      <c r="F613" s="35">
        <f t="shared" si="68"/>
        <v>837540</v>
      </c>
    </row>
    <row r="614" spans="1:6" ht="15.75" thickBot="1" x14ac:dyDescent="0.3">
      <c r="A614" s="5"/>
      <c r="B614" s="5" t="s">
        <v>223</v>
      </c>
      <c r="C614" s="6">
        <v>0</v>
      </c>
      <c r="D614" s="6">
        <v>93060</v>
      </c>
      <c r="E614" s="6">
        <v>0</v>
      </c>
      <c r="F614" s="35">
        <f t="shared" si="68"/>
        <v>93060</v>
      </c>
    </row>
    <row r="615" spans="1:6" ht="15.75" thickBot="1" x14ac:dyDescent="0.3">
      <c r="A615" s="5"/>
      <c r="B615" s="5" t="s">
        <v>271</v>
      </c>
      <c r="C615" s="6">
        <v>0</v>
      </c>
      <c r="D615" s="6">
        <v>93060</v>
      </c>
      <c r="E615" s="6">
        <v>0</v>
      </c>
      <c r="F615" s="35">
        <f t="shared" si="68"/>
        <v>93060</v>
      </c>
    </row>
    <row r="616" spans="1:6" ht="15.75" thickBot="1" x14ac:dyDescent="0.3">
      <c r="A616" s="22">
        <v>510539</v>
      </c>
      <c r="B616" s="22" t="s">
        <v>295</v>
      </c>
      <c r="C616" s="29"/>
      <c r="D616" s="29">
        <f>+SUM(D617:D619)</f>
        <v>457600</v>
      </c>
      <c r="E616" s="29">
        <f t="shared" ref="E616:F616" si="73">+SUM(E617:E619)</f>
        <v>0</v>
      </c>
      <c r="F616" s="29">
        <f t="shared" si="73"/>
        <v>457600</v>
      </c>
    </row>
    <row r="617" spans="1:6" ht="15.75" thickBot="1" x14ac:dyDescent="0.3">
      <c r="A617" s="5"/>
      <c r="B617" s="5" t="s">
        <v>262</v>
      </c>
      <c r="C617" s="6">
        <v>0</v>
      </c>
      <c r="D617" s="6">
        <v>374400</v>
      </c>
      <c r="E617" s="6">
        <v>0</v>
      </c>
      <c r="F617" s="35">
        <f t="shared" si="68"/>
        <v>374400</v>
      </c>
    </row>
    <row r="618" spans="1:6" ht="15.75" thickBot="1" x14ac:dyDescent="0.3">
      <c r="A618" s="5"/>
      <c r="B618" s="5" t="s">
        <v>223</v>
      </c>
      <c r="C618" s="6">
        <v>0</v>
      </c>
      <c r="D618" s="6">
        <v>41600</v>
      </c>
      <c r="E618" s="6">
        <v>0</v>
      </c>
      <c r="F618" s="35">
        <f t="shared" si="68"/>
        <v>41600</v>
      </c>
    </row>
    <row r="619" spans="1:6" ht="15.75" thickBot="1" x14ac:dyDescent="0.3">
      <c r="A619" s="5"/>
      <c r="B619" s="5" t="s">
        <v>271</v>
      </c>
      <c r="C619" s="6">
        <v>0</v>
      </c>
      <c r="D619" s="6">
        <v>41600</v>
      </c>
      <c r="E619" s="6">
        <v>0</v>
      </c>
      <c r="F619" s="35">
        <f t="shared" si="68"/>
        <v>41600</v>
      </c>
    </row>
    <row r="620" spans="1:6" ht="15.75" thickBot="1" x14ac:dyDescent="0.3">
      <c r="A620" s="22">
        <v>510551</v>
      </c>
      <c r="B620" s="22" t="s">
        <v>352</v>
      </c>
      <c r="C620" s="29"/>
      <c r="D620" s="29">
        <f>+SUM(D621:D623)</f>
        <v>310590</v>
      </c>
      <c r="E620" s="29">
        <f t="shared" ref="E620:F620" si="74">+SUM(E621:E623)</f>
        <v>0</v>
      </c>
      <c r="F620" s="29">
        <f t="shared" si="74"/>
        <v>310590</v>
      </c>
    </row>
    <row r="621" spans="1:6" ht="15.75" thickBot="1" x14ac:dyDescent="0.3">
      <c r="A621" s="5"/>
      <c r="B621" s="5" t="s">
        <v>207</v>
      </c>
      <c r="C621" s="6">
        <v>0</v>
      </c>
      <c r="D621" s="6">
        <v>256136</v>
      </c>
      <c r="E621" s="6">
        <v>0</v>
      </c>
      <c r="F621" s="35">
        <f t="shared" si="68"/>
        <v>256136</v>
      </c>
    </row>
    <row r="622" spans="1:6" ht="15.75" thickBot="1" x14ac:dyDescent="0.3">
      <c r="A622" s="5"/>
      <c r="B622" s="5" t="s">
        <v>132</v>
      </c>
      <c r="C622" s="6">
        <v>0</v>
      </c>
      <c r="D622" s="6">
        <v>44370</v>
      </c>
      <c r="E622" s="6">
        <v>0</v>
      </c>
      <c r="F622" s="35">
        <f t="shared" si="68"/>
        <v>44370</v>
      </c>
    </row>
    <row r="623" spans="1:6" ht="15.75" thickBot="1" x14ac:dyDescent="0.3">
      <c r="A623" s="5"/>
      <c r="B623" s="5" t="s">
        <v>165</v>
      </c>
      <c r="C623" s="6">
        <v>0</v>
      </c>
      <c r="D623" s="6">
        <v>10084</v>
      </c>
      <c r="E623" s="6">
        <v>0</v>
      </c>
      <c r="F623" s="35">
        <f t="shared" si="68"/>
        <v>10084</v>
      </c>
    </row>
    <row r="624" spans="1:6" ht="15.75" thickBot="1" x14ac:dyDescent="0.3">
      <c r="A624" s="22">
        <v>510568</v>
      </c>
      <c r="B624" s="22" t="s">
        <v>353</v>
      </c>
      <c r="C624" s="29"/>
      <c r="D624" s="29">
        <f>+SUM(D625)</f>
        <v>417600</v>
      </c>
      <c r="E624" s="29">
        <f t="shared" ref="E624:F624" si="75">+SUM(E625)</f>
        <v>0</v>
      </c>
      <c r="F624" s="29">
        <f t="shared" si="75"/>
        <v>417600</v>
      </c>
    </row>
    <row r="625" spans="1:6" ht="15.75" thickBot="1" x14ac:dyDescent="0.3">
      <c r="A625" s="5"/>
      <c r="B625" s="5" t="s">
        <v>354</v>
      </c>
      <c r="C625" s="6">
        <v>0</v>
      </c>
      <c r="D625" s="6">
        <v>417600</v>
      </c>
      <c r="E625" s="6">
        <v>0</v>
      </c>
      <c r="F625" s="35">
        <f t="shared" si="68"/>
        <v>417600</v>
      </c>
    </row>
    <row r="626" spans="1:6" ht="15.75" thickBot="1" x14ac:dyDescent="0.3">
      <c r="A626" s="22">
        <v>510570</v>
      </c>
      <c r="B626" s="22" t="s">
        <v>355</v>
      </c>
      <c r="C626" s="29"/>
      <c r="D626" s="29">
        <f>+SUM(D627)</f>
        <v>680000</v>
      </c>
      <c r="E626" s="29">
        <f t="shared" ref="E626:F626" si="76">+SUM(E627)</f>
        <v>0</v>
      </c>
      <c r="F626" s="29">
        <f t="shared" si="76"/>
        <v>680000</v>
      </c>
    </row>
    <row r="627" spans="1:6" ht="15.75" thickBot="1" x14ac:dyDescent="0.3">
      <c r="A627" s="5"/>
      <c r="B627" s="5" t="s">
        <v>356</v>
      </c>
      <c r="C627" s="6">
        <v>0</v>
      </c>
      <c r="D627" s="6">
        <v>680000</v>
      </c>
      <c r="E627" s="6">
        <v>0</v>
      </c>
      <c r="F627" s="35">
        <f t="shared" si="68"/>
        <v>680000</v>
      </c>
    </row>
    <row r="628" spans="1:6" ht="15.75" thickBot="1" x14ac:dyDescent="0.3">
      <c r="A628" s="22">
        <v>510572</v>
      </c>
      <c r="B628" s="22" t="s">
        <v>357</v>
      </c>
      <c r="C628" s="29"/>
      <c r="D628" s="29">
        <f>+SUM(D629)</f>
        <v>240000</v>
      </c>
      <c r="E628" s="29">
        <f t="shared" ref="E628:F628" si="77">+SUM(E629)</f>
        <v>0</v>
      </c>
      <c r="F628" s="29">
        <f t="shared" si="77"/>
        <v>240000</v>
      </c>
    </row>
    <row r="629" spans="1:6" ht="15.75" thickBot="1" x14ac:dyDescent="0.3">
      <c r="A629" s="5"/>
      <c r="B629" s="5" t="s">
        <v>358</v>
      </c>
      <c r="C629" s="35">
        <v>0</v>
      </c>
      <c r="D629" s="35">
        <v>240000</v>
      </c>
      <c r="E629" s="35">
        <v>0</v>
      </c>
      <c r="F629" s="35">
        <f t="shared" si="68"/>
        <v>240000</v>
      </c>
    </row>
    <row r="630" spans="1:6" ht="15.75" thickBot="1" x14ac:dyDescent="0.3">
      <c r="A630" s="15">
        <v>5110</v>
      </c>
      <c r="B630" s="15" t="s">
        <v>359</v>
      </c>
      <c r="C630" s="24"/>
      <c r="D630" s="24">
        <f>+D631</f>
        <v>6085800</v>
      </c>
      <c r="E630" s="24">
        <f t="shared" ref="E630:F630" si="78">+E631</f>
        <v>0</v>
      </c>
      <c r="F630" s="24">
        <f t="shared" si="78"/>
        <v>6085800</v>
      </c>
    </row>
    <row r="631" spans="1:6" ht="15.75" thickBot="1" x14ac:dyDescent="0.3">
      <c r="A631" s="25">
        <v>511030</v>
      </c>
      <c r="B631" s="25" t="s">
        <v>360</v>
      </c>
      <c r="C631" s="26">
        <v>0</v>
      </c>
      <c r="D631" s="26">
        <v>6085800</v>
      </c>
      <c r="E631" s="26">
        <v>0</v>
      </c>
      <c r="F631" s="26">
        <f t="shared" si="68"/>
        <v>6085800</v>
      </c>
    </row>
    <row r="632" spans="1:6" ht="15.75" thickBot="1" x14ac:dyDescent="0.3">
      <c r="A632" s="15">
        <v>5115</v>
      </c>
      <c r="B632" s="15" t="s">
        <v>361</v>
      </c>
      <c r="C632" s="24"/>
      <c r="D632" s="24">
        <f>+SUM(D633:D638)</f>
        <v>3654957</v>
      </c>
      <c r="E632" s="24">
        <f t="shared" ref="E632:F632" si="79">+SUM(E633:E638)</f>
        <v>0</v>
      </c>
      <c r="F632" s="24">
        <f t="shared" si="79"/>
        <v>3654957</v>
      </c>
    </row>
    <row r="633" spans="1:6" ht="15.75" thickBot="1" x14ac:dyDescent="0.3">
      <c r="A633" s="25">
        <v>511505</v>
      </c>
      <c r="B633" s="25" t="s">
        <v>362</v>
      </c>
      <c r="C633" s="26">
        <v>0</v>
      </c>
      <c r="D633" s="26">
        <v>1049320</v>
      </c>
      <c r="E633" s="26">
        <v>0</v>
      </c>
      <c r="F633" s="26">
        <f t="shared" si="68"/>
        <v>1049320</v>
      </c>
    </row>
    <row r="634" spans="1:6" ht="15.75" thickBot="1" x14ac:dyDescent="0.3">
      <c r="A634" s="25">
        <v>511570</v>
      </c>
      <c r="B634" s="5" t="s">
        <v>100</v>
      </c>
      <c r="C634" s="6">
        <v>0</v>
      </c>
      <c r="D634" s="6">
        <v>2513128</v>
      </c>
      <c r="E634" s="6">
        <v>0</v>
      </c>
      <c r="F634" s="35">
        <f t="shared" si="68"/>
        <v>2513128</v>
      </c>
    </row>
    <row r="635" spans="1:6" ht="15.75" thickBot="1" x14ac:dyDescent="0.3">
      <c r="A635" s="5"/>
      <c r="B635" s="5" t="s">
        <v>133</v>
      </c>
      <c r="C635" s="6">
        <v>0</v>
      </c>
      <c r="D635" s="6">
        <v>54</v>
      </c>
      <c r="E635" s="6">
        <v>0</v>
      </c>
      <c r="F635" s="35">
        <f t="shared" si="68"/>
        <v>54</v>
      </c>
    </row>
    <row r="636" spans="1:6" ht="15.75" thickBot="1" x14ac:dyDescent="0.3">
      <c r="A636" s="5"/>
      <c r="B636" s="5" t="s">
        <v>227</v>
      </c>
      <c r="C636" s="6">
        <v>0</v>
      </c>
      <c r="D636" s="6">
        <v>10905</v>
      </c>
      <c r="E636" s="6">
        <v>0</v>
      </c>
      <c r="F636" s="35">
        <f t="shared" si="68"/>
        <v>10905</v>
      </c>
    </row>
    <row r="637" spans="1:6" ht="15.75" thickBot="1" x14ac:dyDescent="0.3">
      <c r="A637" s="5"/>
      <c r="B637" s="5" t="s">
        <v>200</v>
      </c>
      <c r="C637" s="6">
        <v>0</v>
      </c>
      <c r="D637" s="6">
        <v>4200</v>
      </c>
      <c r="E637" s="6">
        <v>0</v>
      </c>
      <c r="F637" s="35">
        <f t="shared" si="68"/>
        <v>4200</v>
      </c>
    </row>
    <row r="638" spans="1:6" ht="15.75" thickBot="1" x14ac:dyDescent="0.3">
      <c r="A638" s="5"/>
      <c r="B638" s="5" t="s">
        <v>215</v>
      </c>
      <c r="C638" s="6">
        <v>0</v>
      </c>
      <c r="D638" s="6">
        <v>77350</v>
      </c>
      <c r="E638" s="6">
        <v>0</v>
      </c>
      <c r="F638" s="35">
        <f t="shared" si="68"/>
        <v>77350</v>
      </c>
    </row>
    <row r="639" spans="1:6" ht="15.75" thickBot="1" x14ac:dyDescent="0.3">
      <c r="A639" s="15">
        <v>5130</v>
      </c>
      <c r="B639" s="15" t="s">
        <v>213</v>
      </c>
      <c r="C639" s="24"/>
      <c r="D639" s="24">
        <f>+D640+D643+D646</f>
        <v>7736558</v>
      </c>
      <c r="E639" s="24">
        <f t="shared" ref="E639:F639" si="80">+E640+E643+E646</f>
        <v>0</v>
      </c>
      <c r="F639" s="24">
        <f t="shared" si="80"/>
        <v>7736558</v>
      </c>
    </row>
    <row r="640" spans="1:6" ht="15.75" thickBot="1" x14ac:dyDescent="0.3">
      <c r="A640" s="22">
        <v>513010</v>
      </c>
      <c r="B640" s="22" t="s">
        <v>363</v>
      </c>
      <c r="C640" s="29"/>
      <c r="D640" s="29">
        <f>+SUM(D641:D642)</f>
        <v>743622</v>
      </c>
      <c r="E640" s="29">
        <f t="shared" ref="E640:F640" si="81">+SUM(E641:E642)</f>
        <v>0</v>
      </c>
      <c r="F640" s="29">
        <f t="shared" si="81"/>
        <v>743622</v>
      </c>
    </row>
    <row r="641" spans="1:6" ht="15.75" thickBot="1" x14ac:dyDescent="0.3">
      <c r="A641" s="5"/>
      <c r="B641" s="5" t="s">
        <v>214</v>
      </c>
      <c r="C641" s="6">
        <v>0</v>
      </c>
      <c r="D641" s="6">
        <v>336508</v>
      </c>
      <c r="E641" s="6">
        <v>0</v>
      </c>
      <c r="F641" s="35">
        <f t="shared" si="68"/>
        <v>336508</v>
      </c>
    </row>
    <row r="642" spans="1:6" ht="15.75" thickBot="1" x14ac:dyDescent="0.3">
      <c r="A642" s="5"/>
      <c r="B642" s="5" t="s">
        <v>215</v>
      </c>
      <c r="C642" s="6">
        <v>0</v>
      </c>
      <c r="D642" s="6">
        <v>407114</v>
      </c>
      <c r="E642" s="6">
        <v>0</v>
      </c>
      <c r="F642" s="35">
        <f t="shared" si="68"/>
        <v>407114</v>
      </c>
    </row>
    <row r="643" spans="1:6" ht="15.75" thickBot="1" x14ac:dyDescent="0.3">
      <c r="A643" s="22">
        <v>513040</v>
      </c>
      <c r="B643" s="22" t="s">
        <v>186</v>
      </c>
      <c r="C643" s="29"/>
      <c r="D643" s="29">
        <f>+SUM(D644:D645)</f>
        <v>1237877</v>
      </c>
      <c r="E643" s="29">
        <f t="shared" ref="E643:F643" si="82">+SUM(E644:E645)</f>
        <v>0</v>
      </c>
      <c r="F643" s="29">
        <f t="shared" si="82"/>
        <v>1237877</v>
      </c>
    </row>
    <row r="644" spans="1:6" ht="15.75" thickBot="1" x14ac:dyDescent="0.3">
      <c r="A644" s="5"/>
      <c r="B644" s="5" t="s">
        <v>364</v>
      </c>
      <c r="C644" s="6">
        <v>0</v>
      </c>
      <c r="D644" s="6">
        <v>332877</v>
      </c>
      <c r="E644" s="6">
        <v>0</v>
      </c>
      <c r="F644" s="35">
        <f t="shared" si="68"/>
        <v>332877</v>
      </c>
    </row>
    <row r="645" spans="1:6" ht="15.75" thickBot="1" x14ac:dyDescent="0.3">
      <c r="A645" s="5"/>
      <c r="B645" s="5" t="s">
        <v>365</v>
      </c>
      <c r="C645" s="6">
        <v>0</v>
      </c>
      <c r="D645" s="6">
        <v>905000</v>
      </c>
      <c r="E645" s="6">
        <v>0</v>
      </c>
      <c r="F645" s="35">
        <f t="shared" si="68"/>
        <v>905000</v>
      </c>
    </row>
    <row r="646" spans="1:6" ht="15.75" thickBot="1" x14ac:dyDescent="0.3">
      <c r="A646" s="22">
        <v>513095</v>
      </c>
      <c r="B646" s="22" t="s">
        <v>37</v>
      </c>
      <c r="C646" s="29"/>
      <c r="D646" s="29">
        <f>+SUM(D647:D649)</f>
        <v>5755059</v>
      </c>
      <c r="E646" s="29">
        <f t="shared" ref="E646:F646" si="83">+SUM(E647:E649)</f>
        <v>0</v>
      </c>
      <c r="F646" s="29">
        <f t="shared" si="83"/>
        <v>5755059</v>
      </c>
    </row>
    <row r="647" spans="1:6" ht="15.75" thickBot="1" x14ac:dyDescent="0.3">
      <c r="A647" s="5"/>
      <c r="B647" s="5" t="s">
        <v>283</v>
      </c>
      <c r="C647" s="6">
        <v>0</v>
      </c>
      <c r="D647" s="6">
        <v>105000</v>
      </c>
      <c r="E647" s="6">
        <v>0</v>
      </c>
      <c r="F647" s="35">
        <f t="shared" si="68"/>
        <v>105000</v>
      </c>
    </row>
    <row r="648" spans="1:6" ht="15.75" thickBot="1" x14ac:dyDescent="0.3">
      <c r="A648" s="5"/>
      <c r="B648" s="5" t="s">
        <v>364</v>
      </c>
      <c r="C648" s="6">
        <v>0</v>
      </c>
      <c r="D648" s="6">
        <v>332877</v>
      </c>
      <c r="E648" s="6">
        <v>0</v>
      </c>
      <c r="F648" s="35">
        <f t="shared" si="68"/>
        <v>332877</v>
      </c>
    </row>
    <row r="649" spans="1:6" ht="15.75" thickBot="1" x14ac:dyDescent="0.3">
      <c r="A649" s="5"/>
      <c r="B649" s="5" t="s">
        <v>215</v>
      </c>
      <c r="C649" s="6">
        <v>0</v>
      </c>
      <c r="D649" s="6">
        <v>5317182</v>
      </c>
      <c r="E649" s="6">
        <v>0</v>
      </c>
      <c r="F649" s="35">
        <f t="shared" si="68"/>
        <v>5317182</v>
      </c>
    </row>
    <row r="650" spans="1:6" ht="15.75" thickBot="1" x14ac:dyDescent="0.3">
      <c r="A650" s="15">
        <v>5135</v>
      </c>
      <c r="B650" s="15" t="s">
        <v>238</v>
      </c>
      <c r="C650" s="24"/>
      <c r="D650" s="24">
        <f>+D651+D653+D656</f>
        <v>15235400</v>
      </c>
      <c r="E650" s="24"/>
      <c r="F650" s="24">
        <f t="shared" si="68"/>
        <v>15235400</v>
      </c>
    </row>
    <row r="651" spans="1:6" ht="15.75" thickBot="1" x14ac:dyDescent="0.3">
      <c r="A651" s="22">
        <v>513520</v>
      </c>
      <c r="B651" s="22" t="s">
        <v>366</v>
      </c>
      <c r="C651" s="29"/>
      <c r="D651" s="29">
        <f>+D652</f>
        <v>100000</v>
      </c>
      <c r="E651" s="29">
        <f t="shared" ref="E651:F651" si="84">+E652</f>
        <v>0</v>
      </c>
      <c r="F651" s="29">
        <f t="shared" si="84"/>
        <v>100000</v>
      </c>
    </row>
    <row r="652" spans="1:6" ht="15.75" thickBot="1" x14ac:dyDescent="0.3">
      <c r="A652" s="5"/>
      <c r="B652" s="5" t="s">
        <v>231</v>
      </c>
      <c r="C652" s="6">
        <v>0</v>
      </c>
      <c r="D652" s="6">
        <v>100000</v>
      </c>
      <c r="E652" s="6">
        <v>0</v>
      </c>
      <c r="F652" s="35">
        <f t="shared" si="68"/>
        <v>100000</v>
      </c>
    </row>
    <row r="653" spans="1:6" ht="15.75" thickBot="1" x14ac:dyDescent="0.3">
      <c r="A653" s="22">
        <v>513550</v>
      </c>
      <c r="B653" s="22" t="s">
        <v>367</v>
      </c>
      <c r="C653" s="29"/>
      <c r="D653" s="29">
        <f>+SUM(D654:D655)</f>
        <v>14655400</v>
      </c>
      <c r="E653" s="29">
        <f t="shared" ref="E653:F653" si="85">+SUM(E654:E655)</f>
        <v>0</v>
      </c>
      <c r="F653" s="29">
        <f t="shared" si="85"/>
        <v>14655400</v>
      </c>
    </row>
    <row r="654" spans="1:6" ht="15.75" thickBot="1" x14ac:dyDescent="0.3">
      <c r="A654" s="5"/>
      <c r="B654" s="5" t="s">
        <v>102</v>
      </c>
      <c r="C654" s="6">
        <v>0</v>
      </c>
      <c r="D654" s="6">
        <v>13865400</v>
      </c>
      <c r="E654" s="6">
        <v>0</v>
      </c>
      <c r="F654" s="35">
        <f t="shared" si="68"/>
        <v>13865400</v>
      </c>
    </row>
    <row r="655" spans="1:6" ht="15.75" thickBot="1" x14ac:dyDescent="0.3">
      <c r="A655" s="5"/>
      <c r="B655" s="5" t="s">
        <v>226</v>
      </c>
      <c r="C655" s="6">
        <v>0</v>
      </c>
      <c r="D655" s="6">
        <v>790000</v>
      </c>
      <c r="E655" s="6">
        <v>0</v>
      </c>
      <c r="F655" s="35">
        <f t="shared" si="68"/>
        <v>790000</v>
      </c>
    </row>
    <row r="656" spans="1:6" ht="15.75" thickBot="1" x14ac:dyDescent="0.3">
      <c r="A656" s="22">
        <v>513595</v>
      </c>
      <c r="B656" s="22" t="s">
        <v>37</v>
      </c>
      <c r="C656" s="29"/>
      <c r="D656" s="29">
        <f>+SUM(D657)</f>
        <v>480000</v>
      </c>
      <c r="E656" s="29">
        <f t="shared" ref="E656:F656" si="86">+SUM(E657)</f>
        <v>0</v>
      </c>
      <c r="F656" s="29">
        <f t="shared" si="86"/>
        <v>480000</v>
      </c>
    </row>
    <row r="657" spans="1:7" ht="15.75" thickBot="1" x14ac:dyDescent="0.3">
      <c r="A657" s="5"/>
      <c r="B657" s="5" t="s">
        <v>228</v>
      </c>
      <c r="C657" s="6">
        <v>0</v>
      </c>
      <c r="D657" s="6">
        <v>480000</v>
      </c>
      <c r="E657" s="6">
        <v>0</v>
      </c>
      <c r="F657" s="35">
        <f t="shared" si="68"/>
        <v>480000</v>
      </c>
    </row>
    <row r="658" spans="1:7" ht="15.75" thickBot="1" x14ac:dyDescent="0.3">
      <c r="A658" s="15">
        <v>5140</v>
      </c>
      <c r="B658" s="15" t="s">
        <v>204</v>
      </c>
      <c r="C658" s="24"/>
      <c r="D658" s="24">
        <f>+D659</f>
        <v>278500</v>
      </c>
      <c r="E658" s="24"/>
      <c r="F658" s="24">
        <f t="shared" si="68"/>
        <v>278500</v>
      </c>
    </row>
    <row r="659" spans="1:7" ht="15.75" thickBot="1" x14ac:dyDescent="0.3">
      <c r="A659" s="22">
        <v>514095</v>
      </c>
      <c r="B659" s="22" t="s">
        <v>37</v>
      </c>
      <c r="C659" s="29"/>
      <c r="D659" s="29">
        <f>+D660+D661</f>
        <v>278500</v>
      </c>
      <c r="E659" s="29"/>
      <c r="F659" s="29">
        <f t="shared" si="68"/>
        <v>278500</v>
      </c>
    </row>
    <row r="660" spans="1:7" ht="15.75" thickBot="1" x14ac:dyDescent="0.3">
      <c r="A660" s="5"/>
      <c r="B660" s="5" t="s">
        <v>205</v>
      </c>
      <c r="C660" s="6">
        <v>0</v>
      </c>
      <c r="D660" s="6">
        <v>6500</v>
      </c>
      <c r="E660" s="6">
        <v>0</v>
      </c>
      <c r="F660" s="35">
        <f t="shared" si="68"/>
        <v>6500</v>
      </c>
    </row>
    <row r="661" spans="1:7" ht="15.75" thickBot="1" x14ac:dyDescent="0.3">
      <c r="A661" s="5"/>
      <c r="B661" s="5" t="s">
        <v>105</v>
      </c>
      <c r="C661" s="6">
        <v>0</v>
      </c>
      <c r="D661" s="6">
        <v>272000</v>
      </c>
      <c r="E661" s="6">
        <v>0</v>
      </c>
      <c r="F661" s="35">
        <f t="shared" ref="F661:F724" si="87">+C661+D661-E661</f>
        <v>272000</v>
      </c>
    </row>
    <row r="662" spans="1:7" ht="15.75" thickBot="1" x14ac:dyDescent="0.3">
      <c r="A662" s="15">
        <v>5145</v>
      </c>
      <c r="B662" s="15" t="s">
        <v>186</v>
      </c>
      <c r="C662" s="24"/>
      <c r="D662" s="24">
        <f>+D663</f>
        <v>1041231</v>
      </c>
      <c r="E662" s="24"/>
      <c r="F662" s="24">
        <f t="shared" si="87"/>
        <v>1041231</v>
      </c>
    </row>
    <row r="663" spans="1:7" ht="15.75" thickBot="1" x14ac:dyDescent="0.3">
      <c r="A663" s="22">
        <v>514540</v>
      </c>
      <c r="B663" s="22" t="s">
        <v>186</v>
      </c>
      <c r="C663" s="29"/>
      <c r="D663" s="29">
        <f>+D664+D665+D666</f>
        <v>1041231</v>
      </c>
      <c r="E663" s="29"/>
      <c r="F663" s="29">
        <f t="shared" si="87"/>
        <v>1041231</v>
      </c>
    </row>
    <row r="664" spans="1:7" ht="15.75" thickBot="1" x14ac:dyDescent="0.3">
      <c r="A664" s="5"/>
      <c r="B664" s="5" t="s">
        <v>210</v>
      </c>
      <c r="C664" s="6">
        <v>0</v>
      </c>
      <c r="D664" s="6">
        <v>324210</v>
      </c>
      <c r="E664" s="6">
        <v>0</v>
      </c>
      <c r="F664" s="35">
        <f t="shared" si="87"/>
        <v>324210</v>
      </c>
    </row>
    <row r="665" spans="1:7" ht="15.75" thickBot="1" x14ac:dyDescent="0.3">
      <c r="A665" s="5"/>
      <c r="B665" s="5" t="s">
        <v>211</v>
      </c>
      <c r="C665" s="6">
        <v>0</v>
      </c>
      <c r="D665" s="6">
        <v>341971</v>
      </c>
      <c r="E665" s="6">
        <v>0</v>
      </c>
      <c r="F665" s="35">
        <f t="shared" si="87"/>
        <v>341971</v>
      </c>
    </row>
    <row r="666" spans="1:7" ht="15.75" thickBot="1" x14ac:dyDescent="0.3">
      <c r="A666" s="5"/>
      <c r="B666" s="5" t="s">
        <v>212</v>
      </c>
      <c r="C666" s="6">
        <v>0</v>
      </c>
      <c r="D666" s="6">
        <v>375050</v>
      </c>
      <c r="E666" s="6">
        <v>0</v>
      </c>
      <c r="F666" s="35">
        <f t="shared" si="87"/>
        <v>375050</v>
      </c>
    </row>
    <row r="667" spans="1:7" ht="15.75" thickBot="1" x14ac:dyDescent="0.3">
      <c r="A667" s="15">
        <v>5160</v>
      </c>
      <c r="B667" s="15" t="s">
        <v>368</v>
      </c>
      <c r="C667" s="24"/>
      <c r="D667" s="24">
        <f>+D668</f>
        <v>869976</v>
      </c>
      <c r="E667" s="24"/>
      <c r="F667" s="24">
        <f t="shared" si="87"/>
        <v>869976</v>
      </c>
    </row>
    <row r="668" spans="1:7" ht="15.75" thickBot="1" x14ac:dyDescent="0.3">
      <c r="A668" s="34">
        <v>516020</v>
      </c>
      <c r="B668" s="34" t="s">
        <v>185</v>
      </c>
      <c r="C668" s="35">
        <v>0</v>
      </c>
      <c r="D668" s="35">
        <v>869976</v>
      </c>
      <c r="E668" s="35">
        <v>0</v>
      </c>
      <c r="F668" s="35">
        <f t="shared" si="87"/>
        <v>869976</v>
      </c>
      <c r="G668" s="36"/>
    </row>
    <row r="669" spans="1:7" ht="15.75" thickBot="1" x14ac:dyDescent="0.3">
      <c r="A669" s="15">
        <v>5195</v>
      </c>
      <c r="B669" s="15" t="s">
        <v>340</v>
      </c>
      <c r="C669" s="24">
        <f>+SUM(C670:C691)</f>
        <v>0</v>
      </c>
      <c r="D669" s="24">
        <f>+SUM(D670:D691)</f>
        <v>3762652</v>
      </c>
      <c r="E669" s="24">
        <f t="shared" ref="E669:F669" si="88">+SUM(E670:E691)</f>
        <v>0</v>
      </c>
      <c r="F669" s="24">
        <f>+SUM(F670:F691)</f>
        <v>3762652</v>
      </c>
    </row>
    <row r="670" spans="1:7" ht="15.75" thickBot="1" x14ac:dyDescent="0.3">
      <c r="A670" s="34">
        <v>519520</v>
      </c>
      <c r="B670" s="34" t="s">
        <v>262</v>
      </c>
      <c r="C670" s="35">
        <v>0</v>
      </c>
      <c r="D670" s="35">
        <v>400000</v>
      </c>
      <c r="E670" s="35">
        <v>0</v>
      </c>
      <c r="F670" s="35">
        <f t="shared" si="87"/>
        <v>400000</v>
      </c>
    </row>
    <row r="671" spans="1:7" ht="15.75" thickBot="1" x14ac:dyDescent="0.3">
      <c r="A671" s="34">
        <v>519525</v>
      </c>
      <c r="B671" s="34" t="s">
        <v>233</v>
      </c>
      <c r="C671" s="35">
        <v>0</v>
      </c>
      <c r="D671" s="35">
        <v>65000</v>
      </c>
      <c r="E671" s="35">
        <v>0</v>
      </c>
      <c r="F671" s="35">
        <f t="shared" si="87"/>
        <v>65000</v>
      </c>
    </row>
    <row r="672" spans="1:7" ht="15.75" thickBot="1" x14ac:dyDescent="0.3">
      <c r="A672" s="34">
        <v>519530</v>
      </c>
      <c r="B672" s="34" t="s">
        <v>369</v>
      </c>
      <c r="C672" s="35">
        <v>0</v>
      </c>
      <c r="D672" s="35">
        <v>28000</v>
      </c>
      <c r="E672" s="35">
        <v>0</v>
      </c>
      <c r="F672" s="35">
        <v>28000</v>
      </c>
    </row>
    <row r="673" spans="1:6" ht="15.75" thickBot="1" x14ac:dyDescent="0.3">
      <c r="A673" s="34">
        <v>519535</v>
      </c>
      <c r="B673" s="34" t="s">
        <v>370</v>
      </c>
      <c r="C673" s="35">
        <v>0</v>
      </c>
      <c r="D673" s="35">
        <v>416400</v>
      </c>
      <c r="E673" s="35">
        <v>0</v>
      </c>
      <c r="F673" s="35">
        <f t="shared" si="87"/>
        <v>416400</v>
      </c>
    </row>
    <row r="674" spans="1:6" ht="15.75" thickBot="1" x14ac:dyDescent="0.3">
      <c r="A674" s="34"/>
      <c r="B674" s="34" t="s">
        <v>219</v>
      </c>
      <c r="C674" s="35">
        <v>0</v>
      </c>
      <c r="D674" s="35">
        <v>59310</v>
      </c>
      <c r="E674" s="35">
        <v>0</v>
      </c>
      <c r="F674" s="35">
        <f t="shared" si="87"/>
        <v>59310</v>
      </c>
    </row>
    <row r="675" spans="1:6" ht="15.75" thickBot="1" x14ac:dyDescent="0.3">
      <c r="A675" s="34"/>
      <c r="B675" s="34" t="s">
        <v>222</v>
      </c>
      <c r="C675" s="35">
        <v>0</v>
      </c>
      <c r="D675" s="35">
        <v>130000</v>
      </c>
      <c r="E675" s="35">
        <v>0</v>
      </c>
      <c r="F675" s="35">
        <f t="shared" si="87"/>
        <v>130000</v>
      </c>
    </row>
    <row r="676" spans="1:6" ht="15.75" thickBot="1" x14ac:dyDescent="0.3">
      <c r="A676" s="34"/>
      <c r="B676" s="34" t="s">
        <v>227</v>
      </c>
      <c r="C676" s="35">
        <v>0</v>
      </c>
      <c r="D676" s="35">
        <v>223395</v>
      </c>
      <c r="E676" s="35">
        <v>0</v>
      </c>
      <c r="F676" s="35">
        <f t="shared" si="87"/>
        <v>223395</v>
      </c>
    </row>
    <row r="677" spans="1:6" ht="15.75" thickBot="1" x14ac:dyDescent="0.3">
      <c r="A677" s="34"/>
      <c r="B677" s="34" t="s">
        <v>230</v>
      </c>
      <c r="C677" s="35">
        <v>0</v>
      </c>
      <c r="D677" s="35">
        <v>20000</v>
      </c>
      <c r="E677" s="35">
        <v>0</v>
      </c>
      <c r="F677" s="35">
        <f t="shared" si="87"/>
        <v>20000</v>
      </c>
    </row>
    <row r="678" spans="1:6" ht="15.75" thickBot="1" x14ac:dyDescent="0.3">
      <c r="A678" s="34"/>
      <c r="B678" s="34" t="s">
        <v>233</v>
      </c>
      <c r="C678" s="35">
        <v>0</v>
      </c>
      <c r="D678" s="35">
        <v>1368708</v>
      </c>
      <c r="E678" s="35">
        <v>0</v>
      </c>
      <c r="F678" s="35">
        <f t="shared" si="87"/>
        <v>1368708</v>
      </c>
    </row>
    <row r="679" spans="1:6" ht="15.75" thickBot="1" x14ac:dyDescent="0.3">
      <c r="A679" s="34">
        <v>519560</v>
      </c>
      <c r="B679" s="34" t="s">
        <v>220</v>
      </c>
      <c r="C679" s="35">
        <v>0</v>
      </c>
      <c r="D679" s="35">
        <v>101300</v>
      </c>
      <c r="E679" s="35">
        <v>0</v>
      </c>
      <c r="F679" s="35">
        <f t="shared" si="87"/>
        <v>101300</v>
      </c>
    </row>
    <row r="680" spans="1:6" ht="15.75" thickBot="1" x14ac:dyDescent="0.3">
      <c r="A680" s="34"/>
      <c r="B680" s="34" t="s">
        <v>224</v>
      </c>
      <c r="C680" s="35">
        <v>0</v>
      </c>
      <c r="D680" s="35">
        <v>87954</v>
      </c>
      <c r="E680" s="35">
        <v>0</v>
      </c>
      <c r="F680" s="35">
        <f t="shared" si="87"/>
        <v>87954</v>
      </c>
    </row>
    <row r="681" spans="1:6" ht="15.75" thickBot="1" x14ac:dyDescent="0.3">
      <c r="A681" s="34"/>
      <c r="B681" s="34" t="s">
        <v>229</v>
      </c>
      <c r="C681" s="35">
        <v>0</v>
      </c>
      <c r="D681" s="35">
        <v>135200</v>
      </c>
      <c r="E681" s="35">
        <v>0</v>
      </c>
      <c r="F681" s="35">
        <f t="shared" si="87"/>
        <v>135200</v>
      </c>
    </row>
    <row r="682" spans="1:6" ht="15.75" thickBot="1" x14ac:dyDescent="0.3">
      <c r="A682" s="34"/>
      <c r="B682" s="34" t="s">
        <v>232</v>
      </c>
      <c r="C682" s="35">
        <v>0</v>
      </c>
      <c r="D682" s="35">
        <v>151652</v>
      </c>
      <c r="E682" s="35">
        <v>0</v>
      </c>
      <c r="F682" s="35">
        <f t="shared" si="87"/>
        <v>151652</v>
      </c>
    </row>
    <row r="683" spans="1:6" ht="15.75" thickBot="1" x14ac:dyDescent="0.3">
      <c r="A683" s="34"/>
      <c r="B683" s="34" t="s">
        <v>234</v>
      </c>
      <c r="C683" s="35">
        <v>0</v>
      </c>
      <c r="D683" s="35">
        <v>143349</v>
      </c>
      <c r="E683" s="35">
        <v>0</v>
      </c>
      <c r="F683" s="35">
        <f t="shared" si="87"/>
        <v>143349</v>
      </c>
    </row>
    <row r="684" spans="1:6" ht="15.75" thickBot="1" x14ac:dyDescent="0.3">
      <c r="A684" s="34">
        <v>519595</v>
      </c>
      <c r="B684" s="34" t="s">
        <v>196</v>
      </c>
      <c r="C684" s="35">
        <v>0</v>
      </c>
      <c r="D684" s="35">
        <v>159664</v>
      </c>
      <c r="E684" s="35">
        <v>0</v>
      </c>
      <c r="F684" s="35">
        <f t="shared" si="87"/>
        <v>159664</v>
      </c>
    </row>
    <row r="685" spans="1:6" ht="15.75" thickBot="1" x14ac:dyDescent="0.3">
      <c r="A685" s="34"/>
      <c r="B685" s="34" t="s">
        <v>115</v>
      </c>
      <c r="C685" s="35">
        <v>0</v>
      </c>
      <c r="D685" s="35">
        <v>20000</v>
      </c>
      <c r="E685" s="35">
        <v>0</v>
      </c>
      <c r="F685" s="35">
        <f t="shared" si="87"/>
        <v>20000</v>
      </c>
    </row>
    <row r="686" spans="1:6" ht="15.75" thickBot="1" x14ac:dyDescent="0.3">
      <c r="A686" s="34"/>
      <c r="B686" s="34" t="s">
        <v>221</v>
      </c>
      <c r="C686" s="35">
        <v>0</v>
      </c>
      <c r="D686" s="35">
        <v>30672</v>
      </c>
      <c r="E686" s="35">
        <v>0</v>
      </c>
      <c r="F686" s="35">
        <f t="shared" si="87"/>
        <v>30672</v>
      </c>
    </row>
    <row r="687" spans="1:6" ht="15.75" thickBot="1" x14ac:dyDescent="0.3">
      <c r="A687" s="34"/>
      <c r="B687" s="34" t="s">
        <v>132</v>
      </c>
      <c r="C687" s="35">
        <v>0</v>
      </c>
      <c r="D687" s="35">
        <v>22521</v>
      </c>
      <c r="E687" s="35">
        <v>0</v>
      </c>
      <c r="F687" s="35">
        <f t="shared" si="87"/>
        <v>22521</v>
      </c>
    </row>
    <row r="688" spans="1:6" ht="15.75" thickBot="1" x14ac:dyDescent="0.3">
      <c r="A688" s="34"/>
      <c r="B688" s="34" t="s">
        <v>133</v>
      </c>
      <c r="C688" s="35">
        <v>0</v>
      </c>
      <c r="D688" s="35">
        <v>84285</v>
      </c>
      <c r="E688" s="35">
        <v>0</v>
      </c>
      <c r="F688" s="35">
        <f t="shared" si="87"/>
        <v>84285</v>
      </c>
    </row>
    <row r="689" spans="1:6" ht="15.75" thickBot="1" x14ac:dyDescent="0.3">
      <c r="A689" s="34"/>
      <c r="B689" s="34" t="s">
        <v>227</v>
      </c>
      <c r="C689" s="35">
        <v>0</v>
      </c>
      <c r="D689" s="35">
        <v>96000</v>
      </c>
      <c r="E689" s="35">
        <v>0</v>
      </c>
      <c r="F689" s="35">
        <f t="shared" si="87"/>
        <v>96000</v>
      </c>
    </row>
    <row r="690" spans="1:6" ht="15.75" thickBot="1" x14ac:dyDescent="0.3">
      <c r="A690" s="34"/>
      <c r="B690" s="34" t="s">
        <v>229</v>
      </c>
      <c r="C690" s="35">
        <v>0</v>
      </c>
      <c r="D690" s="35">
        <v>12519</v>
      </c>
      <c r="E690" s="35">
        <v>0</v>
      </c>
      <c r="F690" s="35">
        <f t="shared" si="87"/>
        <v>12519</v>
      </c>
    </row>
    <row r="691" spans="1:6" ht="15.75" thickBot="1" x14ac:dyDescent="0.3">
      <c r="A691" s="34"/>
      <c r="B691" s="34" t="s">
        <v>165</v>
      </c>
      <c r="C691" s="35">
        <v>0</v>
      </c>
      <c r="D691" s="35">
        <v>6723</v>
      </c>
      <c r="E691" s="35">
        <v>0</v>
      </c>
      <c r="F691" s="35">
        <f t="shared" si="87"/>
        <v>6723</v>
      </c>
    </row>
    <row r="692" spans="1:6" ht="15.75" thickBot="1" x14ac:dyDescent="0.3">
      <c r="A692" s="4">
        <v>53</v>
      </c>
      <c r="B692" s="4" t="s">
        <v>334</v>
      </c>
      <c r="C692" s="3">
        <f>+C693+C696+C701</f>
        <v>0</v>
      </c>
      <c r="D692" s="3">
        <f>+D693+D696+D701</f>
        <v>10160303</v>
      </c>
      <c r="E692" s="3">
        <f>+E693+E696+E701</f>
        <v>0</v>
      </c>
      <c r="F692" s="3">
        <f>+C692+D692-E692</f>
        <v>10160303</v>
      </c>
    </row>
    <row r="693" spans="1:6" ht="15.75" thickBot="1" x14ac:dyDescent="0.3">
      <c r="A693" s="15">
        <v>5305</v>
      </c>
      <c r="B693" s="15" t="s">
        <v>335</v>
      </c>
      <c r="C693" s="24">
        <f>+SUM(C694:C695)</f>
        <v>0</v>
      </c>
      <c r="D693" s="24">
        <f>+SUM(D694:D695)</f>
        <v>1940771</v>
      </c>
      <c r="E693" s="24">
        <f t="shared" ref="E693:F693" si="89">+SUM(E694:E695)</f>
        <v>0</v>
      </c>
      <c r="F693" s="24">
        <f t="shared" si="89"/>
        <v>1940771</v>
      </c>
    </row>
    <row r="694" spans="1:6" ht="15.75" thickBot="1" x14ac:dyDescent="0.3">
      <c r="A694" s="25">
        <v>530505</v>
      </c>
      <c r="B694" s="25" t="s">
        <v>371</v>
      </c>
      <c r="C694" s="26">
        <v>0</v>
      </c>
      <c r="D694" s="26">
        <v>116910</v>
      </c>
      <c r="E694" s="26">
        <v>0</v>
      </c>
      <c r="F694" s="26">
        <f t="shared" si="87"/>
        <v>116910</v>
      </c>
    </row>
    <row r="695" spans="1:6" ht="15.75" thickBot="1" x14ac:dyDescent="0.3">
      <c r="A695" s="25">
        <v>530515</v>
      </c>
      <c r="B695" s="25" t="s">
        <v>372</v>
      </c>
      <c r="C695" s="26"/>
      <c r="D695" s="26">
        <v>1823861</v>
      </c>
      <c r="E695" s="26"/>
      <c r="F695" s="26">
        <f t="shared" si="87"/>
        <v>1823861</v>
      </c>
    </row>
    <row r="696" spans="1:6" ht="15.75" thickBot="1" x14ac:dyDescent="0.3">
      <c r="A696" s="15">
        <v>5315</v>
      </c>
      <c r="B696" s="15" t="s">
        <v>373</v>
      </c>
      <c r="C696" s="24"/>
      <c r="D696" s="24">
        <f>+SUM(D697:D700)</f>
        <v>7453965</v>
      </c>
      <c r="E696" s="24">
        <f t="shared" ref="E696:F696" si="90">+SUM(E697:E700)</f>
        <v>0</v>
      </c>
      <c r="F696" s="24">
        <f t="shared" si="90"/>
        <v>7453965</v>
      </c>
    </row>
    <row r="697" spans="1:6" ht="15.75" thickBot="1" x14ac:dyDescent="0.3">
      <c r="A697" s="25">
        <v>531515</v>
      </c>
      <c r="B697" s="25" t="s">
        <v>374</v>
      </c>
      <c r="C697" s="26">
        <v>0</v>
      </c>
      <c r="D697" s="26">
        <v>1016549</v>
      </c>
      <c r="E697" s="26">
        <v>0</v>
      </c>
      <c r="F697" s="26">
        <f t="shared" si="87"/>
        <v>1016549</v>
      </c>
    </row>
    <row r="698" spans="1:6" ht="15.75" thickBot="1" x14ac:dyDescent="0.3">
      <c r="A698" s="25">
        <v>531520</v>
      </c>
      <c r="B698" s="25" t="s">
        <v>375</v>
      </c>
      <c r="C698" s="26">
        <v>0</v>
      </c>
      <c r="D698" s="26">
        <v>186266</v>
      </c>
      <c r="E698" s="26">
        <v>0</v>
      </c>
      <c r="F698" s="26">
        <f t="shared" si="87"/>
        <v>186266</v>
      </c>
    </row>
    <row r="699" spans="1:6" ht="15.75" thickBot="1" x14ac:dyDescent="0.3">
      <c r="A699" s="25">
        <v>531525</v>
      </c>
      <c r="B699" s="25" t="s">
        <v>376</v>
      </c>
      <c r="C699" s="26">
        <v>0</v>
      </c>
      <c r="D699" s="26">
        <v>35000</v>
      </c>
      <c r="E699" s="26">
        <v>0</v>
      </c>
      <c r="F699" s="26">
        <f t="shared" si="87"/>
        <v>35000</v>
      </c>
    </row>
    <row r="700" spans="1:6" ht="15.75" thickBot="1" x14ac:dyDescent="0.3">
      <c r="A700" s="25">
        <v>531595</v>
      </c>
      <c r="B700" s="25" t="s">
        <v>37</v>
      </c>
      <c r="C700" s="26">
        <v>0</v>
      </c>
      <c r="D700" s="26">
        <v>6216150</v>
      </c>
      <c r="E700" s="26">
        <v>0</v>
      </c>
      <c r="F700" s="26">
        <f t="shared" si="87"/>
        <v>6216150</v>
      </c>
    </row>
    <row r="701" spans="1:6" ht="15.75" thickBot="1" x14ac:dyDescent="0.3">
      <c r="A701" s="15">
        <v>5395</v>
      </c>
      <c r="B701" s="15" t="s">
        <v>377</v>
      </c>
      <c r="C701" s="24"/>
      <c r="D701" s="24">
        <f>+D702</f>
        <v>765567</v>
      </c>
      <c r="E701" s="24">
        <f t="shared" ref="E701:F701" si="91">+E702</f>
        <v>0</v>
      </c>
      <c r="F701" s="24">
        <f t="shared" si="91"/>
        <v>765567</v>
      </c>
    </row>
    <row r="702" spans="1:6" ht="15.75" thickBot="1" x14ac:dyDescent="0.3">
      <c r="A702" s="25">
        <v>539595</v>
      </c>
      <c r="B702" s="25" t="s">
        <v>378</v>
      </c>
      <c r="C702" s="26">
        <v>0</v>
      </c>
      <c r="D702" s="26">
        <v>765567</v>
      </c>
      <c r="E702" s="26">
        <v>0</v>
      </c>
      <c r="F702" s="26">
        <f t="shared" si="87"/>
        <v>765567</v>
      </c>
    </row>
    <row r="703" spans="1:6" ht="15.75" thickBot="1" x14ac:dyDescent="0.3">
      <c r="A703" s="4">
        <v>54</v>
      </c>
      <c r="B703" s="4" t="s">
        <v>379</v>
      </c>
      <c r="C703" s="3">
        <f t="shared" ref="C703:D703" si="92">+C704</f>
        <v>0</v>
      </c>
      <c r="D703" s="3">
        <f>+D704</f>
        <v>0</v>
      </c>
      <c r="E703" s="3">
        <f>+E704</f>
        <v>210000</v>
      </c>
      <c r="F703" s="3">
        <f t="shared" si="87"/>
        <v>-210000</v>
      </c>
    </row>
    <row r="704" spans="1:6" ht="15.75" thickBot="1" x14ac:dyDescent="0.3">
      <c r="A704" s="15">
        <v>5405</v>
      </c>
      <c r="B704" s="15" t="s">
        <v>380</v>
      </c>
      <c r="C704" s="24">
        <v>0</v>
      </c>
      <c r="D704" s="24">
        <v>0</v>
      </c>
      <c r="E704" s="24">
        <v>210000</v>
      </c>
      <c r="F704" s="24">
        <f t="shared" si="87"/>
        <v>-210000</v>
      </c>
    </row>
    <row r="705" spans="1:6" ht="15.75" thickBot="1" x14ac:dyDescent="0.3">
      <c r="A705" s="4">
        <v>7</v>
      </c>
      <c r="B705" s="4" t="s">
        <v>381</v>
      </c>
      <c r="C705" s="3"/>
      <c r="D705" s="3">
        <f>+D706+D793</f>
        <v>138623497</v>
      </c>
      <c r="E705" s="3"/>
      <c r="F705" s="3">
        <f t="shared" si="87"/>
        <v>138623497</v>
      </c>
    </row>
    <row r="706" spans="1:6" ht="15.75" thickBot="1" x14ac:dyDescent="0.3">
      <c r="A706" s="4">
        <v>72</v>
      </c>
      <c r="B706" s="4" t="s">
        <v>382</v>
      </c>
      <c r="C706" s="3"/>
      <c r="D706" s="3">
        <f>+D707</f>
        <v>59226202</v>
      </c>
      <c r="E706" s="3"/>
      <c r="F706" s="3">
        <f>+C706+D706-E706</f>
        <v>59226202</v>
      </c>
    </row>
    <row r="707" spans="1:6" ht="15.75" thickBot="1" x14ac:dyDescent="0.3">
      <c r="A707" s="15">
        <v>7205</v>
      </c>
      <c r="B707" s="15" t="s">
        <v>348</v>
      </c>
      <c r="C707" s="24"/>
      <c r="D707" s="24">
        <f>+D708+D721+D730+D743+D756+D769+D782+D783+D786+D790</f>
        <v>59226202</v>
      </c>
      <c r="E707" s="24"/>
      <c r="F707" s="24">
        <f t="shared" si="87"/>
        <v>59226202</v>
      </c>
    </row>
    <row r="708" spans="1:6" ht="15.75" thickBot="1" x14ac:dyDescent="0.3">
      <c r="A708" s="22">
        <v>720506</v>
      </c>
      <c r="B708" s="22" t="s">
        <v>288</v>
      </c>
      <c r="C708" s="29">
        <f>+SUM(C709:C720)</f>
        <v>0</v>
      </c>
      <c r="D708" s="29">
        <f>+SUM(D709:D720)</f>
        <v>40389283</v>
      </c>
      <c r="E708" s="29">
        <f t="shared" ref="E708:F708" si="93">+SUM(E709:E720)</f>
        <v>0</v>
      </c>
      <c r="F708" s="29">
        <f t="shared" si="93"/>
        <v>40389283</v>
      </c>
    </row>
    <row r="709" spans="1:6" ht="15.75" thickBot="1" x14ac:dyDescent="0.3">
      <c r="A709" s="5"/>
      <c r="B709" s="5" t="s">
        <v>261</v>
      </c>
      <c r="C709" s="6">
        <v>0</v>
      </c>
      <c r="D709" s="6">
        <v>7400000</v>
      </c>
      <c r="E709" s="6">
        <v>0</v>
      </c>
      <c r="F709" s="35">
        <f t="shared" si="87"/>
        <v>7400000</v>
      </c>
    </row>
    <row r="710" spans="1:6" ht="15.75" thickBot="1" x14ac:dyDescent="0.3">
      <c r="A710" s="5"/>
      <c r="B710" s="5" t="s">
        <v>263</v>
      </c>
      <c r="C710" s="6">
        <v>0</v>
      </c>
      <c r="D710" s="6">
        <v>8400000</v>
      </c>
      <c r="E710" s="6">
        <v>0</v>
      </c>
      <c r="F710" s="35">
        <f t="shared" si="87"/>
        <v>8400000</v>
      </c>
    </row>
    <row r="711" spans="1:6" ht="15.75" thickBot="1" x14ac:dyDescent="0.3">
      <c r="A711" s="5"/>
      <c r="B711" s="5" t="s">
        <v>264</v>
      </c>
      <c r="C711" s="6">
        <v>0</v>
      </c>
      <c r="D711" s="6">
        <v>1799992</v>
      </c>
      <c r="E711" s="6">
        <v>0</v>
      </c>
      <c r="F711" s="35">
        <f t="shared" si="87"/>
        <v>1799992</v>
      </c>
    </row>
    <row r="712" spans="1:6" ht="15.75" thickBot="1" x14ac:dyDescent="0.3">
      <c r="A712" s="5"/>
      <c r="B712" s="5" t="s">
        <v>265</v>
      </c>
      <c r="C712" s="6">
        <v>0</v>
      </c>
      <c r="D712" s="6">
        <v>707542</v>
      </c>
      <c r="E712" s="6">
        <v>0</v>
      </c>
      <c r="F712" s="35">
        <f t="shared" si="87"/>
        <v>707542</v>
      </c>
    </row>
    <row r="713" spans="1:6" ht="15.75" thickBot="1" x14ac:dyDescent="0.3">
      <c r="A713" s="5"/>
      <c r="B713" s="5" t="s">
        <v>266</v>
      </c>
      <c r="C713" s="6">
        <v>0</v>
      </c>
      <c r="D713" s="6">
        <v>521347</v>
      </c>
      <c r="E713" s="6">
        <v>0</v>
      </c>
      <c r="F713" s="35">
        <f t="shared" si="87"/>
        <v>521347</v>
      </c>
    </row>
    <row r="714" spans="1:6" ht="15.75" thickBot="1" x14ac:dyDescent="0.3">
      <c r="A714" s="5"/>
      <c r="B714" s="5" t="s">
        <v>267</v>
      </c>
      <c r="C714" s="6">
        <v>0</v>
      </c>
      <c r="D714" s="6">
        <v>9000000</v>
      </c>
      <c r="E714" s="6">
        <v>0</v>
      </c>
      <c r="F714" s="35">
        <f t="shared" si="87"/>
        <v>9000000</v>
      </c>
    </row>
    <row r="715" spans="1:6" ht="15.75" thickBot="1" x14ac:dyDescent="0.3">
      <c r="A715" s="5"/>
      <c r="B715" s="5" t="s">
        <v>268</v>
      </c>
      <c r="C715" s="6">
        <v>0</v>
      </c>
      <c r="D715" s="6">
        <v>707542</v>
      </c>
      <c r="E715" s="6">
        <v>0</v>
      </c>
      <c r="F715" s="35">
        <f t="shared" si="87"/>
        <v>707542</v>
      </c>
    </row>
    <row r="716" spans="1:6" ht="15.75" thickBot="1" x14ac:dyDescent="0.3">
      <c r="A716" s="5"/>
      <c r="B716" s="5" t="s">
        <v>269</v>
      </c>
      <c r="C716" s="6">
        <v>0</v>
      </c>
      <c r="D716" s="6">
        <v>1133333</v>
      </c>
      <c r="E716" s="6">
        <v>0</v>
      </c>
      <c r="F716" s="35">
        <f t="shared" si="87"/>
        <v>1133333</v>
      </c>
    </row>
    <row r="717" spans="1:6" ht="15.75" thickBot="1" x14ac:dyDescent="0.3">
      <c r="A717" s="5"/>
      <c r="B717" s="5" t="s">
        <v>270</v>
      </c>
      <c r="C717" s="6">
        <v>0</v>
      </c>
      <c r="D717" s="6">
        <v>33333</v>
      </c>
      <c r="E717" s="6">
        <v>0</v>
      </c>
      <c r="F717" s="35">
        <f t="shared" si="87"/>
        <v>33333</v>
      </c>
    </row>
    <row r="718" spans="1:6" ht="15.75" thickBot="1" x14ac:dyDescent="0.3">
      <c r="A718" s="5"/>
      <c r="B718" s="5" t="s">
        <v>272</v>
      </c>
      <c r="C718" s="6">
        <v>0</v>
      </c>
      <c r="D718" s="6">
        <v>1499999</v>
      </c>
      <c r="E718" s="6">
        <v>0</v>
      </c>
      <c r="F718" s="35">
        <f t="shared" si="87"/>
        <v>1499999</v>
      </c>
    </row>
    <row r="719" spans="1:6" ht="15.75" thickBot="1" x14ac:dyDescent="0.3">
      <c r="A719" s="5"/>
      <c r="B719" s="5" t="s">
        <v>273</v>
      </c>
      <c r="C719" s="6">
        <v>0</v>
      </c>
      <c r="D719" s="6">
        <v>9000000</v>
      </c>
      <c r="E719" s="6">
        <v>0</v>
      </c>
      <c r="F719" s="35">
        <f t="shared" si="87"/>
        <v>9000000</v>
      </c>
    </row>
    <row r="720" spans="1:6" ht="15.75" thickBot="1" x14ac:dyDescent="0.3">
      <c r="A720" s="5"/>
      <c r="B720" s="5" t="s">
        <v>274</v>
      </c>
      <c r="C720" s="6">
        <v>0</v>
      </c>
      <c r="D720" s="6">
        <v>186195</v>
      </c>
      <c r="E720" s="6">
        <v>0</v>
      </c>
      <c r="F720" s="35">
        <f t="shared" si="87"/>
        <v>186195</v>
      </c>
    </row>
    <row r="721" spans="1:6" ht="15.75" thickBot="1" x14ac:dyDescent="0.3">
      <c r="A721" s="22">
        <v>720527</v>
      </c>
      <c r="B721" s="22" t="s">
        <v>349</v>
      </c>
      <c r="C721" s="29">
        <f>+SUM(C722:C729)</f>
        <v>0</v>
      </c>
      <c r="D721" s="29">
        <f>+SUM(D722:D729)</f>
        <v>4483820</v>
      </c>
      <c r="E721" s="29">
        <f t="shared" ref="E721:F721" si="94">+SUM(E722:E729)</f>
        <v>0</v>
      </c>
      <c r="F721" s="29">
        <f t="shared" si="94"/>
        <v>4483820</v>
      </c>
    </row>
    <row r="722" spans="1:6" ht="15.75" thickBot="1" x14ac:dyDescent="0.3">
      <c r="A722" s="5"/>
      <c r="B722" s="5" t="s">
        <v>261</v>
      </c>
      <c r="C722" s="6">
        <v>0</v>
      </c>
      <c r="D722" s="6">
        <v>867073</v>
      </c>
      <c r="E722" s="6">
        <v>0</v>
      </c>
      <c r="F722" s="35">
        <f t="shared" si="87"/>
        <v>867073</v>
      </c>
    </row>
    <row r="723" spans="1:6" ht="15.75" thickBot="1" x14ac:dyDescent="0.3">
      <c r="A723" s="37"/>
      <c r="B723" s="37" t="s">
        <v>263</v>
      </c>
      <c r="C723" s="38">
        <v>0</v>
      </c>
      <c r="D723" s="38">
        <v>984245</v>
      </c>
      <c r="E723" s="38">
        <v>0</v>
      </c>
      <c r="F723" s="39">
        <f t="shared" si="87"/>
        <v>984245</v>
      </c>
    </row>
    <row r="724" spans="1:6" ht="15.75" thickBot="1" x14ac:dyDescent="0.3">
      <c r="A724" s="5"/>
      <c r="B724" s="5" t="s">
        <v>264</v>
      </c>
      <c r="C724" s="6">
        <v>0</v>
      </c>
      <c r="D724" s="6">
        <v>210909</v>
      </c>
      <c r="E724" s="6">
        <v>0</v>
      </c>
      <c r="F724" s="39">
        <f t="shared" si="87"/>
        <v>210909</v>
      </c>
    </row>
    <row r="725" spans="1:6" ht="15.75" thickBot="1" x14ac:dyDescent="0.3">
      <c r="A725" s="5"/>
      <c r="B725" s="5" t="s">
        <v>267</v>
      </c>
      <c r="C725" s="6">
        <v>0</v>
      </c>
      <c r="D725" s="6">
        <v>1054548</v>
      </c>
      <c r="E725" s="6">
        <v>0</v>
      </c>
      <c r="F725" s="39">
        <f t="shared" ref="F725:F788" si="95">+C725+D725-E725</f>
        <v>1054548</v>
      </c>
    </row>
    <row r="726" spans="1:6" ht="15.75" thickBot="1" x14ac:dyDescent="0.3">
      <c r="A726" s="5"/>
      <c r="B726" s="5" t="s">
        <v>269</v>
      </c>
      <c r="C726" s="6">
        <v>0</v>
      </c>
      <c r="D726" s="6">
        <v>132834</v>
      </c>
      <c r="E726" s="6">
        <v>0</v>
      </c>
      <c r="F726" s="39">
        <f t="shared" si="95"/>
        <v>132834</v>
      </c>
    </row>
    <row r="727" spans="1:6" ht="15.75" thickBot="1" x14ac:dyDescent="0.3">
      <c r="A727" s="5"/>
      <c r="B727" s="5" t="s">
        <v>270</v>
      </c>
      <c r="C727" s="6">
        <v>0</v>
      </c>
      <c r="D727" s="6">
        <v>3905</v>
      </c>
      <c r="E727" s="6">
        <v>0</v>
      </c>
      <c r="F727" s="39">
        <f t="shared" si="95"/>
        <v>3905</v>
      </c>
    </row>
    <row r="728" spans="1:6" ht="15.75" thickBot="1" x14ac:dyDescent="0.3">
      <c r="A728" s="5"/>
      <c r="B728" s="5" t="s">
        <v>272</v>
      </c>
      <c r="C728" s="6">
        <v>0</v>
      </c>
      <c r="D728" s="6">
        <v>175758</v>
      </c>
      <c r="E728" s="6">
        <v>0</v>
      </c>
      <c r="F728" s="39">
        <f t="shared" si="95"/>
        <v>175758</v>
      </c>
    </row>
    <row r="729" spans="1:6" ht="15.75" thickBot="1" x14ac:dyDescent="0.3">
      <c r="A729" s="5"/>
      <c r="B729" s="5" t="s">
        <v>273</v>
      </c>
      <c r="C729" s="6">
        <v>0</v>
      </c>
      <c r="D729" s="6">
        <v>1054548</v>
      </c>
      <c r="E729" s="6">
        <v>0</v>
      </c>
      <c r="F729" s="39">
        <f t="shared" si="95"/>
        <v>1054548</v>
      </c>
    </row>
    <row r="730" spans="1:6" ht="15.75" thickBot="1" x14ac:dyDescent="0.3">
      <c r="A730" s="22">
        <v>720530</v>
      </c>
      <c r="B730" s="22" t="s">
        <v>383</v>
      </c>
      <c r="C730" s="29">
        <f>+SUM(C731:C742)</f>
        <v>0</v>
      </c>
      <c r="D730" s="29">
        <f>+SUM(D731:D742)</f>
        <v>3435075</v>
      </c>
      <c r="E730" s="29">
        <f t="shared" ref="E730:F730" si="96">+SUM(E731:E742)</f>
        <v>0</v>
      </c>
      <c r="F730" s="29">
        <f t="shared" si="96"/>
        <v>3435075</v>
      </c>
    </row>
    <row r="731" spans="1:6" ht="15.75" thickBot="1" x14ac:dyDescent="0.3">
      <c r="A731" s="5"/>
      <c r="B731" s="5" t="s">
        <v>261</v>
      </c>
      <c r="C731" s="6">
        <v>0</v>
      </c>
      <c r="D731" s="6">
        <v>625448</v>
      </c>
      <c r="E731" s="6">
        <v>0</v>
      </c>
      <c r="F731" s="39">
        <f t="shared" si="95"/>
        <v>625448</v>
      </c>
    </row>
    <row r="732" spans="1:6" ht="15.75" thickBot="1" x14ac:dyDescent="0.3">
      <c r="A732" s="5"/>
      <c r="B732" s="5" t="s">
        <v>263</v>
      </c>
      <c r="C732" s="6">
        <v>0</v>
      </c>
      <c r="D732" s="6">
        <v>709968</v>
      </c>
      <c r="E732" s="6">
        <v>0</v>
      </c>
      <c r="F732" s="39">
        <f t="shared" si="95"/>
        <v>709968</v>
      </c>
    </row>
    <row r="733" spans="1:6" ht="15.75" thickBot="1" x14ac:dyDescent="0.3">
      <c r="A733" s="5"/>
      <c r="B733" s="5" t="s">
        <v>264</v>
      </c>
      <c r="C733" s="6">
        <v>0</v>
      </c>
      <c r="D733" s="6">
        <v>152135</v>
      </c>
      <c r="E733" s="6">
        <v>0</v>
      </c>
      <c r="F733" s="39">
        <f t="shared" si="95"/>
        <v>152135</v>
      </c>
    </row>
    <row r="734" spans="1:6" ht="15.75" thickBot="1" x14ac:dyDescent="0.3">
      <c r="A734" s="5"/>
      <c r="B734" s="5" t="s">
        <v>265</v>
      </c>
      <c r="C734" s="6">
        <v>0</v>
      </c>
      <c r="D734" s="6">
        <v>59164</v>
      </c>
      <c r="E734" s="6">
        <v>0</v>
      </c>
      <c r="F734" s="39">
        <f t="shared" si="95"/>
        <v>59164</v>
      </c>
    </row>
    <row r="735" spans="1:6" ht="15.75" thickBot="1" x14ac:dyDescent="0.3">
      <c r="A735" s="5"/>
      <c r="B735" s="5" t="s">
        <v>266</v>
      </c>
      <c r="C735" s="6">
        <v>0</v>
      </c>
      <c r="D735" s="6">
        <v>42260</v>
      </c>
      <c r="E735" s="6">
        <v>0</v>
      </c>
      <c r="F735" s="39">
        <f t="shared" si="95"/>
        <v>42260</v>
      </c>
    </row>
    <row r="736" spans="1:6" ht="15.75" thickBot="1" x14ac:dyDescent="0.3">
      <c r="A736" s="5"/>
      <c r="B736" s="5" t="s">
        <v>267</v>
      </c>
      <c r="C736" s="6">
        <v>0</v>
      </c>
      <c r="D736" s="6">
        <v>769220</v>
      </c>
      <c r="E736" s="6">
        <v>0</v>
      </c>
      <c r="F736" s="39">
        <f t="shared" si="95"/>
        <v>769220</v>
      </c>
    </row>
    <row r="737" spans="1:6" ht="15.75" thickBot="1" x14ac:dyDescent="0.3">
      <c r="A737" s="5"/>
      <c r="B737" s="5" t="s">
        <v>268</v>
      </c>
      <c r="C737" s="6">
        <v>0</v>
      </c>
      <c r="D737" s="6">
        <v>59164</v>
      </c>
      <c r="E737" s="6">
        <v>0</v>
      </c>
      <c r="F737" s="39">
        <f t="shared" si="95"/>
        <v>59164</v>
      </c>
    </row>
    <row r="738" spans="1:6" ht="15.75" thickBot="1" x14ac:dyDescent="0.3">
      <c r="A738" s="5"/>
      <c r="B738" s="5" t="s">
        <v>269</v>
      </c>
      <c r="C738" s="6">
        <v>0</v>
      </c>
      <c r="D738" s="6">
        <v>101424</v>
      </c>
      <c r="E738" s="6">
        <v>0</v>
      </c>
      <c r="F738" s="39">
        <f t="shared" si="95"/>
        <v>101424</v>
      </c>
    </row>
    <row r="739" spans="1:6" ht="15.75" thickBot="1" x14ac:dyDescent="0.3">
      <c r="A739" s="5"/>
      <c r="B739" s="5" t="s">
        <v>270</v>
      </c>
      <c r="C739" s="6">
        <v>0</v>
      </c>
      <c r="D739" s="6">
        <v>2818</v>
      </c>
      <c r="E739" s="6">
        <v>0</v>
      </c>
      <c r="F739" s="39">
        <f t="shared" si="95"/>
        <v>2818</v>
      </c>
    </row>
    <row r="740" spans="1:6" ht="15.75" thickBot="1" x14ac:dyDescent="0.3">
      <c r="A740" s="5"/>
      <c r="B740" s="5" t="s">
        <v>272</v>
      </c>
      <c r="C740" s="6">
        <v>0</v>
      </c>
      <c r="D740" s="6">
        <v>127350</v>
      </c>
      <c r="E740" s="6">
        <v>0</v>
      </c>
      <c r="F740" s="39">
        <f t="shared" si="95"/>
        <v>127350</v>
      </c>
    </row>
    <row r="741" spans="1:6" ht="15.75" thickBot="1" x14ac:dyDescent="0.3">
      <c r="A741" s="5"/>
      <c r="B741" s="5" t="s">
        <v>273</v>
      </c>
      <c r="C741" s="6">
        <v>0</v>
      </c>
      <c r="D741" s="6">
        <v>769220</v>
      </c>
      <c r="E741" s="6">
        <v>0</v>
      </c>
      <c r="F741" s="39">
        <f t="shared" si="95"/>
        <v>769220</v>
      </c>
    </row>
    <row r="742" spans="1:6" ht="15.75" thickBot="1" x14ac:dyDescent="0.3">
      <c r="A742" s="5"/>
      <c r="B742" s="5" t="s">
        <v>274</v>
      </c>
      <c r="C742" s="6">
        <v>0</v>
      </c>
      <c r="D742" s="6">
        <v>16904</v>
      </c>
      <c r="E742" s="6">
        <v>0</v>
      </c>
      <c r="F742" s="39">
        <f t="shared" si="95"/>
        <v>16904</v>
      </c>
    </row>
    <row r="743" spans="1:6" ht="15.75" thickBot="1" x14ac:dyDescent="0.3">
      <c r="A743" s="22">
        <v>720533</v>
      </c>
      <c r="B743" s="22" t="s">
        <v>351</v>
      </c>
      <c r="C743" s="29">
        <f>+SUM(C744:C755)</f>
        <v>0</v>
      </c>
      <c r="D743" s="29">
        <f>+SUM(D744:D755)</f>
        <v>412358</v>
      </c>
      <c r="E743" s="29">
        <f t="shared" ref="E743:F743" si="97">+SUM(E744:E755)</f>
        <v>0</v>
      </c>
      <c r="F743" s="29">
        <f t="shared" si="97"/>
        <v>412358</v>
      </c>
    </row>
    <row r="744" spans="1:6" ht="15.75" thickBot="1" x14ac:dyDescent="0.3">
      <c r="A744" s="5"/>
      <c r="B744" s="5" t="s">
        <v>261</v>
      </c>
      <c r="C744" s="6">
        <v>0</v>
      </c>
      <c r="D744" s="6">
        <v>75081</v>
      </c>
      <c r="E744" s="6">
        <v>0</v>
      </c>
      <c r="F744" s="39">
        <f t="shared" si="95"/>
        <v>75081</v>
      </c>
    </row>
    <row r="745" spans="1:6" ht="15.75" thickBot="1" x14ac:dyDescent="0.3">
      <c r="A745" s="5"/>
      <c r="B745" s="5" t="s">
        <v>263</v>
      </c>
      <c r="C745" s="6">
        <v>0</v>
      </c>
      <c r="D745" s="6">
        <v>85227</v>
      </c>
      <c r="E745" s="6">
        <v>0</v>
      </c>
      <c r="F745" s="39">
        <f t="shared" si="95"/>
        <v>85227</v>
      </c>
    </row>
    <row r="746" spans="1:6" ht="15.75" thickBot="1" x14ac:dyDescent="0.3">
      <c r="A746" s="5"/>
      <c r="B746" s="5" t="s">
        <v>264</v>
      </c>
      <c r="C746" s="6">
        <v>0</v>
      </c>
      <c r="D746" s="6">
        <v>18263</v>
      </c>
      <c r="E746" s="6">
        <v>0</v>
      </c>
      <c r="F746" s="39">
        <f t="shared" si="95"/>
        <v>18263</v>
      </c>
    </row>
    <row r="747" spans="1:6" ht="15.75" thickBot="1" x14ac:dyDescent="0.3">
      <c r="A747" s="5"/>
      <c r="B747" s="5" t="s">
        <v>265</v>
      </c>
      <c r="C747" s="6">
        <v>0</v>
      </c>
      <c r="D747" s="6">
        <v>7103</v>
      </c>
      <c r="E747" s="6">
        <v>0</v>
      </c>
      <c r="F747" s="39">
        <f t="shared" si="95"/>
        <v>7103</v>
      </c>
    </row>
    <row r="748" spans="1:6" ht="15.75" thickBot="1" x14ac:dyDescent="0.3">
      <c r="A748" s="5"/>
      <c r="B748" s="5" t="s">
        <v>266</v>
      </c>
      <c r="C748" s="6">
        <v>0</v>
      </c>
      <c r="D748" s="6">
        <v>5073</v>
      </c>
      <c r="E748" s="6">
        <v>0</v>
      </c>
      <c r="F748" s="39">
        <f t="shared" si="95"/>
        <v>5073</v>
      </c>
    </row>
    <row r="749" spans="1:6" ht="15.75" thickBot="1" x14ac:dyDescent="0.3">
      <c r="A749" s="5"/>
      <c r="B749" s="5" t="s">
        <v>267</v>
      </c>
      <c r="C749" s="6">
        <v>0</v>
      </c>
      <c r="D749" s="6">
        <v>92340</v>
      </c>
      <c r="E749" s="6">
        <v>0</v>
      </c>
      <c r="F749" s="39">
        <f t="shared" si="95"/>
        <v>92340</v>
      </c>
    </row>
    <row r="750" spans="1:6" ht="15.75" thickBot="1" x14ac:dyDescent="0.3">
      <c r="A750" s="5"/>
      <c r="B750" s="5" t="s">
        <v>268</v>
      </c>
      <c r="C750" s="6">
        <v>0</v>
      </c>
      <c r="D750" s="6">
        <v>7103</v>
      </c>
      <c r="E750" s="6">
        <v>0</v>
      </c>
      <c r="F750" s="39">
        <f t="shared" si="95"/>
        <v>7103</v>
      </c>
    </row>
    <row r="751" spans="1:6" ht="15.75" thickBot="1" x14ac:dyDescent="0.3">
      <c r="A751" s="5"/>
      <c r="B751" s="5" t="s">
        <v>269</v>
      </c>
      <c r="C751" s="6">
        <v>0</v>
      </c>
      <c r="D751" s="6">
        <v>12175</v>
      </c>
      <c r="E751" s="6">
        <v>0</v>
      </c>
      <c r="F751" s="39">
        <f t="shared" si="95"/>
        <v>12175</v>
      </c>
    </row>
    <row r="752" spans="1:6" ht="15.75" thickBot="1" x14ac:dyDescent="0.3">
      <c r="A752" s="5"/>
      <c r="B752" s="5" t="s">
        <v>270</v>
      </c>
      <c r="C752" s="6">
        <v>0</v>
      </c>
      <c r="D752" s="6">
        <v>338</v>
      </c>
      <c r="E752" s="6">
        <v>0</v>
      </c>
      <c r="F752" s="39">
        <f t="shared" si="95"/>
        <v>338</v>
      </c>
    </row>
    <row r="753" spans="1:6" ht="15.75" thickBot="1" x14ac:dyDescent="0.3">
      <c r="A753" s="5"/>
      <c r="B753" s="5" t="s">
        <v>272</v>
      </c>
      <c r="C753" s="6">
        <v>0</v>
      </c>
      <c r="D753" s="6">
        <v>15286</v>
      </c>
      <c r="E753" s="6">
        <v>0</v>
      </c>
      <c r="F753" s="39">
        <f t="shared" si="95"/>
        <v>15286</v>
      </c>
    </row>
    <row r="754" spans="1:6" ht="15.75" thickBot="1" x14ac:dyDescent="0.3">
      <c r="A754" s="5"/>
      <c r="B754" s="5" t="s">
        <v>273</v>
      </c>
      <c r="C754" s="6">
        <v>0</v>
      </c>
      <c r="D754" s="6">
        <v>92340</v>
      </c>
      <c r="E754" s="6">
        <v>0</v>
      </c>
      <c r="F754" s="39">
        <f t="shared" si="95"/>
        <v>92340</v>
      </c>
    </row>
    <row r="755" spans="1:6" ht="15.75" thickBot="1" x14ac:dyDescent="0.3">
      <c r="A755" s="5"/>
      <c r="B755" s="5" t="s">
        <v>274</v>
      </c>
      <c r="C755" s="6">
        <v>0</v>
      </c>
      <c r="D755" s="6">
        <v>2029</v>
      </c>
      <c r="E755" s="6">
        <v>0</v>
      </c>
      <c r="F755" s="39">
        <f t="shared" si="95"/>
        <v>2029</v>
      </c>
    </row>
    <row r="756" spans="1:6" ht="15.75" thickBot="1" x14ac:dyDescent="0.3">
      <c r="A756" s="22">
        <v>720536</v>
      </c>
      <c r="B756" s="22" t="s">
        <v>294</v>
      </c>
      <c r="C756" s="29">
        <f>+SUM(C757:C768)</f>
        <v>0</v>
      </c>
      <c r="D756" s="29">
        <f>+SUM(D757:D768)</f>
        <v>3435075</v>
      </c>
      <c r="E756" s="29">
        <f t="shared" ref="E756:F756" si="98">+SUM(E757:E768)</f>
        <v>0</v>
      </c>
      <c r="F756" s="29">
        <f t="shared" si="98"/>
        <v>3435075</v>
      </c>
    </row>
    <row r="757" spans="1:6" ht="15.75" thickBot="1" x14ac:dyDescent="0.3">
      <c r="A757" s="5"/>
      <c r="B757" s="5" t="s">
        <v>261</v>
      </c>
      <c r="C757" s="6">
        <v>0</v>
      </c>
      <c r="D757" s="6">
        <v>625448</v>
      </c>
      <c r="E757" s="6">
        <v>0</v>
      </c>
      <c r="F757" s="39">
        <f t="shared" si="95"/>
        <v>625448</v>
      </c>
    </row>
    <row r="758" spans="1:6" ht="15.75" thickBot="1" x14ac:dyDescent="0.3">
      <c r="A758" s="5"/>
      <c r="B758" s="5" t="s">
        <v>263</v>
      </c>
      <c r="C758" s="6">
        <v>0</v>
      </c>
      <c r="D758" s="6">
        <v>709968</v>
      </c>
      <c r="E758" s="6">
        <v>0</v>
      </c>
      <c r="F758" s="39">
        <f t="shared" si="95"/>
        <v>709968</v>
      </c>
    </row>
    <row r="759" spans="1:6" ht="15.75" thickBot="1" x14ac:dyDescent="0.3">
      <c r="A759" s="5"/>
      <c r="B759" s="5" t="s">
        <v>264</v>
      </c>
      <c r="C759" s="6">
        <v>0</v>
      </c>
      <c r="D759" s="6">
        <v>152135</v>
      </c>
      <c r="E759" s="6">
        <v>0</v>
      </c>
      <c r="F759" s="39">
        <f t="shared" si="95"/>
        <v>152135</v>
      </c>
    </row>
    <row r="760" spans="1:6" ht="15.75" thickBot="1" x14ac:dyDescent="0.3">
      <c r="A760" s="5"/>
      <c r="B760" s="5" t="s">
        <v>265</v>
      </c>
      <c r="C760" s="6">
        <v>0</v>
      </c>
      <c r="D760" s="6">
        <v>59164</v>
      </c>
      <c r="E760" s="6">
        <v>0</v>
      </c>
      <c r="F760" s="39">
        <f t="shared" si="95"/>
        <v>59164</v>
      </c>
    </row>
    <row r="761" spans="1:6" ht="15.75" thickBot="1" x14ac:dyDescent="0.3">
      <c r="A761" s="5"/>
      <c r="B761" s="5" t="s">
        <v>266</v>
      </c>
      <c r="C761" s="6">
        <v>0</v>
      </c>
      <c r="D761" s="6">
        <v>42260</v>
      </c>
      <c r="E761" s="6">
        <v>0</v>
      </c>
      <c r="F761" s="39">
        <f t="shared" si="95"/>
        <v>42260</v>
      </c>
    </row>
    <row r="762" spans="1:6" ht="15.75" thickBot="1" x14ac:dyDescent="0.3">
      <c r="A762" s="5"/>
      <c r="B762" s="5" t="s">
        <v>267</v>
      </c>
      <c r="C762" s="6">
        <v>0</v>
      </c>
      <c r="D762" s="6">
        <v>769220</v>
      </c>
      <c r="E762" s="6">
        <v>0</v>
      </c>
      <c r="F762" s="39">
        <f t="shared" si="95"/>
        <v>769220</v>
      </c>
    </row>
    <row r="763" spans="1:6" ht="15.75" thickBot="1" x14ac:dyDescent="0.3">
      <c r="A763" s="5"/>
      <c r="B763" s="5" t="s">
        <v>268</v>
      </c>
      <c r="C763" s="6">
        <v>0</v>
      </c>
      <c r="D763" s="6">
        <v>59164</v>
      </c>
      <c r="E763" s="6">
        <v>0</v>
      </c>
      <c r="F763" s="39">
        <f t="shared" si="95"/>
        <v>59164</v>
      </c>
    </row>
    <row r="764" spans="1:6" ht="15.75" thickBot="1" x14ac:dyDescent="0.3">
      <c r="A764" s="5"/>
      <c r="B764" s="5" t="s">
        <v>269</v>
      </c>
      <c r="C764" s="6">
        <v>0</v>
      </c>
      <c r="D764" s="6">
        <v>101424</v>
      </c>
      <c r="E764" s="6">
        <v>0</v>
      </c>
      <c r="F764" s="39">
        <f t="shared" si="95"/>
        <v>101424</v>
      </c>
    </row>
    <row r="765" spans="1:6" ht="15.75" thickBot="1" x14ac:dyDescent="0.3">
      <c r="A765" s="5"/>
      <c r="B765" s="5" t="s">
        <v>270</v>
      </c>
      <c r="C765" s="6">
        <v>0</v>
      </c>
      <c r="D765" s="6">
        <v>2818</v>
      </c>
      <c r="E765" s="6">
        <v>0</v>
      </c>
      <c r="F765" s="39">
        <f t="shared" si="95"/>
        <v>2818</v>
      </c>
    </row>
    <row r="766" spans="1:6" ht="15.75" thickBot="1" x14ac:dyDescent="0.3">
      <c r="A766" s="5"/>
      <c r="B766" s="5" t="s">
        <v>272</v>
      </c>
      <c r="C766" s="6">
        <v>0</v>
      </c>
      <c r="D766" s="6">
        <v>127350</v>
      </c>
      <c r="E766" s="6">
        <v>0</v>
      </c>
      <c r="F766" s="39">
        <f t="shared" si="95"/>
        <v>127350</v>
      </c>
    </row>
    <row r="767" spans="1:6" ht="15.75" thickBot="1" x14ac:dyDescent="0.3">
      <c r="A767" s="5"/>
      <c r="B767" s="5" t="s">
        <v>273</v>
      </c>
      <c r="C767" s="6">
        <v>0</v>
      </c>
      <c r="D767" s="6">
        <v>769220</v>
      </c>
      <c r="E767" s="6">
        <v>0</v>
      </c>
      <c r="F767" s="39">
        <f t="shared" si="95"/>
        <v>769220</v>
      </c>
    </row>
    <row r="768" spans="1:6" ht="15.75" thickBot="1" x14ac:dyDescent="0.3">
      <c r="A768" s="5"/>
      <c r="B768" s="5" t="s">
        <v>274</v>
      </c>
      <c r="C768" s="6">
        <v>0</v>
      </c>
      <c r="D768" s="6">
        <v>16904</v>
      </c>
      <c r="E768" s="6">
        <v>0</v>
      </c>
      <c r="F768" s="39">
        <f t="shared" si="95"/>
        <v>16904</v>
      </c>
    </row>
    <row r="769" spans="1:6" ht="15.75" thickBot="1" x14ac:dyDescent="0.3">
      <c r="A769" s="22">
        <v>720539</v>
      </c>
      <c r="B769" s="22" t="s">
        <v>295</v>
      </c>
      <c r="C769" s="29">
        <f>+SUM(C770:C781)</f>
        <v>0</v>
      </c>
      <c r="D769" s="29">
        <f>+SUM(D770:D781)</f>
        <v>1682034</v>
      </c>
      <c r="E769" s="29">
        <f t="shared" ref="E769:F769" si="99">+SUM(E770:E781)</f>
        <v>0</v>
      </c>
      <c r="F769" s="29">
        <f t="shared" si="99"/>
        <v>1682034</v>
      </c>
    </row>
    <row r="770" spans="1:6" ht="15.75" thickBot="1" x14ac:dyDescent="0.3">
      <c r="A770" s="5"/>
      <c r="B770" s="5" t="s">
        <v>261</v>
      </c>
      <c r="C770" s="6">
        <v>0</v>
      </c>
      <c r="D770" s="6">
        <v>307840</v>
      </c>
      <c r="E770" s="6">
        <v>0</v>
      </c>
      <c r="F770" s="39">
        <f t="shared" si="95"/>
        <v>307840</v>
      </c>
    </row>
    <row r="771" spans="1:6" ht="15.75" thickBot="1" x14ac:dyDescent="0.3">
      <c r="A771" s="5"/>
      <c r="B771" s="5" t="s">
        <v>263</v>
      </c>
      <c r="C771" s="6">
        <v>0</v>
      </c>
      <c r="D771" s="6">
        <v>349440</v>
      </c>
      <c r="E771" s="6">
        <v>0</v>
      </c>
      <c r="F771" s="39">
        <f t="shared" si="95"/>
        <v>349440</v>
      </c>
    </row>
    <row r="772" spans="1:6" ht="15.75" thickBot="1" x14ac:dyDescent="0.3">
      <c r="A772" s="5"/>
      <c r="B772" s="5" t="s">
        <v>264</v>
      </c>
      <c r="C772" s="6">
        <v>0</v>
      </c>
      <c r="D772" s="6">
        <v>74880</v>
      </c>
      <c r="E772" s="6">
        <v>0</v>
      </c>
      <c r="F772" s="39">
        <f t="shared" si="95"/>
        <v>74880</v>
      </c>
    </row>
    <row r="773" spans="1:6" ht="15.75" thickBot="1" x14ac:dyDescent="0.3">
      <c r="A773" s="5"/>
      <c r="B773" s="5" t="s">
        <v>265</v>
      </c>
      <c r="C773" s="6">
        <v>0</v>
      </c>
      <c r="D773" s="6">
        <v>29120</v>
      </c>
      <c r="E773" s="6">
        <v>0</v>
      </c>
      <c r="F773" s="39">
        <f t="shared" si="95"/>
        <v>29120</v>
      </c>
    </row>
    <row r="774" spans="1:6" ht="15.75" thickBot="1" x14ac:dyDescent="0.3">
      <c r="A774" s="5"/>
      <c r="B774" s="5" t="s">
        <v>266</v>
      </c>
      <c r="C774" s="6">
        <v>0</v>
      </c>
      <c r="D774" s="6">
        <v>20800</v>
      </c>
      <c r="E774" s="6">
        <v>0</v>
      </c>
      <c r="F774" s="39">
        <f t="shared" si="95"/>
        <v>20800</v>
      </c>
    </row>
    <row r="775" spans="1:6" ht="15.75" thickBot="1" x14ac:dyDescent="0.3">
      <c r="A775" s="5"/>
      <c r="B775" s="5" t="s">
        <v>267</v>
      </c>
      <c r="C775" s="6">
        <v>0</v>
      </c>
      <c r="D775" s="6">
        <v>374400</v>
      </c>
      <c r="E775" s="6">
        <v>0</v>
      </c>
      <c r="F775" s="39">
        <f t="shared" si="95"/>
        <v>374400</v>
      </c>
    </row>
    <row r="776" spans="1:6" ht="15.75" thickBot="1" x14ac:dyDescent="0.3">
      <c r="A776" s="5"/>
      <c r="B776" s="5" t="s">
        <v>268</v>
      </c>
      <c r="C776" s="6">
        <v>0</v>
      </c>
      <c r="D776" s="6">
        <v>29120</v>
      </c>
      <c r="E776" s="6">
        <v>0</v>
      </c>
      <c r="F776" s="39">
        <f t="shared" si="95"/>
        <v>29120</v>
      </c>
    </row>
    <row r="777" spans="1:6" ht="15.75" thickBot="1" x14ac:dyDescent="0.3">
      <c r="A777" s="5"/>
      <c r="B777" s="5" t="s">
        <v>269</v>
      </c>
      <c r="C777" s="6">
        <v>0</v>
      </c>
      <c r="D777" s="6">
        <v>49920</v>
      </c>
      <c r="E777" s="6">
        <v>0</v>
      </c>
      <c r="F777" s="39">
        <f t="shared" si="95"/>
        <v>49920</v>
      </c>
    </row>
    <row r="778" spans="1:6" ht="15.75" thickBot="1" x14ac:dyDescent="0.3">
      <c r="A778" s="5"/>
      <c r="B778" s="5" t="s">
        <v>270</v>
      </c>
      <c r="C778" s="6">
        <v>0</v>
      </c>
      <c r="D778" s="6">
        <v>1387</v>
      </c>
      <c r="E778" s="6">
        <v>0</v>
      </c>
      <c r="F778" s="39">
        <f t="shared" si="95"/>
        <v>1387</v>
      </c>
    </row>
    <row r="779" spans="1:6" ht="15.75" thickBot="1" x14ac:dyDescent="0.3">
      <c r="A779" s="5"/>
      <c r="B779" s="5" t="s">
        <v>272</v>
      </c>
      <c r="C779" s="6">
        <v>0</v>
      </c>
      <c r="D779" s="6">
        <v>62407</v>
      </c>
      <c r="E779" s="6">
        <v>0</v>
      </c>
      <c r="F779" s="39">
        <f t="shared" si="95"/>
        <v>62407</v>
      </c>
    </row>
    <row r="780" spans="1:6" ht="15.75" thickBot="1" x14ac:dyDescent="0.3">
      <c r="A780" s="5"/>
      <c r="B780" s="5" t="s">
        <v>273</v>
      </c>
      <c r="C780" s="6">
        <v>0</v>
      </c>
      <c r="D780" s="6">
        <v>374400</v>
      </c>
      <c r="E780" s="6">
        <v>0</v>
      </c>
      <c r="F780" s="39">
        <f t="shared" si="95"/>
        <v>374400</v>
      </c>
    </row>
    <row r="781" spans="1:6" ht="15.75" thickBot="1" x14ac:dyDescent="0.3">
      <c r="A781" s="5"/>
      <c r="B781" s="5" t="s">
        <v>274</v>
      </c>
      <c r="C781" s="6">
        <v>0</v>
      </c>
      <c r="D781" s="6">
        <v>8320</v>
      </c>
      <c r="E781" s="6">
        <v>0</v>
      </c>
      <c r="F781" s="39">
        <f t="shared" si="95"/>
        <v>8320</v>
      </c>
    </row>
    <row r="782" spans="1:6" ht="15.75" thickBot="1" x14ac:dyDescent="0.3">
      <c r="A782" s="22">
        <v>720578</v>
      </c>
      <c r="B782" s="22" t="s">
        <v>353</v>
      </c>
      <c r="C782" s="29">
        <v>0</v>
      </c>
      <c r="D782" s="29">
        <v>1686900</v>
      </c>
      <c r="E782" s="29">
        <v>0</v>
      </c>
      <c r="F782" s="29">
        <f t="shared" si="95"/>
        <v>1686900</v>
      </c>
    </row>
    <row r="783" spans="1:6" ht="15.75" thickBot="1" x14ac:dyDescent="0.3">
      <c r="A783" s="22">
        <v>720569</v>
      </c>
      <c r="B783" s="22" t="s">
        <v>260</v>
      </c>
      <c r="C783" s="29">
        <f>+SUM(C784:C785)</f>
        <v>0</v>
      </c>
      <c r="D783" s="29">
        <f>+SUM(D784:D785)</f>
        <v>16067</v>
      </c>
      <c r="E783" s="29">
        <f t="shared" ref="E783:F783" si="100">+SUM(E784:E785)</f>
        <v>0</v>
      </c>
      <c r="F783" s="29">
        <f t="shared" si="100"/>
        <v>16067</v>
      </c>
    </row>
    <row r="784" spans="1:6" ht="15.75" thickBot="1" x14ac:dyDescent="0.3">
      <c r="A784" s="5"/>
      <c r="B784" s="5" t="s">
        <v>384</v>
      </c>
      <c r="C784" s="6">
        <v>0</v>
      </c>
      <c r="D784" s="6">
        <v>67</v>
      </c>
      <c r="E784" s="6">
        <v>0</v>
      </c>
      <c r="F784" s="39">
        <f t="shared" si="95"/>
        <v>67</v>
      </c>
    </row>
    <row r="785" spans="1:6" ht="15.75" thickBot="1" x14ac:dyDescent="0.3">
      <c r="A785" s="5"/>
      <c r="B785" s="5" t="s">
        <v>385</v>
      </c>
      <c r="C785" s="6">
        <v>0</v>
      </c>
      <c r="D785" s="6">
        <v>16000</v>
      </c>
      <c r="E785" s="6">
        <v>0</v>
      </c>
      <c r="F785" s="39">
        <f t="shared" si="95"/>
        <v>16000</v>
      </c>
    </row>
    <row r="786" spans="1:6" ht="15.75" thickBot="1" x14ac:dyDescent="0.3">
      <c r="A786" s="22">
        <v>720570</v>
      </c>
      <c r="B786" s="22" t="s">
        <v>355</v>
      </c>
      <c r="C786" s="29">
        <f>+SUM(C787:C789)</f>
        <v>0</v>
      </c>
      <c r="D786" s="29">
        <f>+SUM(D787:D789)</f>
        <v>2716190</v>
      </c>
      <c r="E786" s="29">
        <f t="shared" ref="E786:F786" si="101">+SUM(E787:E789)</f>
        <v>0</v>
      </c>
      <c r="F786" s="29">
        <f t="shared" si="101"/>
        <v>2716190</v>
      </c>
    </row>
    <row r="787" spans="1:6" ht="15.75" thickBot="1" x14ac:dyDescent="0.3">
      <c r="A787" s="5"/>
      <c r="B787" s="5" t="s">
        <v>386</v>
      </c>
      <c r="C787" s="6">
        <v>0</v>
      </c>
      <c r="D787" s="6">
        <v>50856</v>
      </c>
      <c r="E787" s="6">
        <v>0</v>
      </c>
      <c r="F787" s="39">
        <f t="shared" si="95"/>
        <v>50856</v>
      </c>
    </row>
    <row r="788" spans="1:6" ht="15.75" thickBot="1" x14ac:dyDescent="0.3">
      <c r="A788" s="5"/>
      <c r="B788" s="5" t="s">
        <v>387</v>
      </c>
      <c r="C788" s="6">
        <v>0</v>
      </c>
      <c r="D788" s="6">
        <v>1360000</v>
      </c>
      <c r="E788" s="6">
        <v>0</v>
      </c>
      <c r="F788" s="39">
        <f t="shared" si="95"/>
        <v>1360000</v>
      </c>
    </row>
    <row r="789" spans="1:6" ht="15.75" thickBot="1" x14ac:dyDescent="0.3">
      <c r="A789" s="5"/>
      <c r="B789" s="5" t="s">
        <v>388</v>
      </c>
      <c r="C789" s="6">
        <v>0</v>
      </c>
      <c r="D789" s="6">
        <v>1305334</v>
      </c>
      <c r="E789" s="6">
        <v>0</v>
      </c>
      <c r="F789" s="39">
        <f t="shared" ref="F789:F812" si="102">+C789+D789-E789</f>
        <v>1305334</v>
      </c>
    </row>
    <row r="790" spans="1:6" ht="15.75" thickBot="1" x14ac:dyDescent="0.3">
      <c r="A790" s="22">
        <v>720572</v>
      </c>
      <c r="B790" s="22" t="s">
        <v>357</v>
      </c>
      <c r="C790" s="29">
        <f>+SUM(C791:C792)</f>
        <v>0</v>
      </c>
      <c r="D790" s="29">
        <f>+SUM(D791:D792)</f>
        <v>969400</v>
      </c>
      <c r="E790" s="29">
        <f>+SUM(E791:E792)</f>
        <v>0</v>
      </c>
      <c r="F790" s="29">
        <f>+SUM(F791:F792)</f>
        <v>969400</v>
      </c>
    </row>
    <row r="791" spans="1:6" ht="15.75" thickBot="1" x14ac:dyDescent="0.3">
      <c r="A791" s="5"/>
      <c r="B791" s="5" t="s">
        <v>389</v>
      </c>
      <c r="C791" s="6">
        <v>0</v>
      </c>
      <c r="D791" s="6">
        <v>40000</v>
      </c>
      <c r="E791" s="6">
        <v>0</v>
      </c>
      <c r="F791" s="39">
        <f t="shared" si="102"/>
        <v>40000</v>
      </c>
    </row>
    <row r="792" spans="1:6" ht="15.75" thickBot="1" x14ac:dyDescent="0.3">
      <c r="A792" s="5"/>
      <c r="B792" s="5" t="s">
        <v>390</v>
      </c>
      <c r="C792" s="6">
        <v>0</v>
      </c>
      <c r="D792" s="6">
        <v>929400</v>
      </c>
      <c r="E792" s="6">
        <v>0</v>
      </c>
      <c r="F792" s="39">
        <f t="shared" si="102"/>
        <v>929400</v>
      </c>
    </row>
    <row r="793" spans="1:6" ht="15.75" thickBot="1" x14ac:dyDescent="0.3">
      <c r="A793" s="4">
        <v>74</v>
      </c>
      <c r="B793" s="4" t="s">
        <v>391</v>
      </c>
      <c r="C793" s="3"/>
      <c r="D793" s="3">
        <f>+D795</f>
        <v>79397295</v>
      </c>
      <c r="E793" s="3"/>
      <c r="F793" s="40">
        <f t="shared" si="102"/>
        <v>79397295</v>
      </c>
    </row>
    <row r="794" spans="1:6" ht="15.75" thickBot="1" x14ac:dyDescent="0.3">
      <c r="A794" s="15">
        <v>7435</v>
      </c>
      <c r="B794" s="15" t="s">
        <v>391</v>
      </c>
      <c r="C794" s="24">
        <f>+C795</f>
        <v>0</v>
      </c>
      <c r="D794" s="24">
        <f>+D795</f>
        <v>79397295</v>
      </c>
      <c r="E794" s="24">
        <f t="shared" ref="E794:F794" si="103">+E795</f>
        <v>0</v>
      </c>
      <c r="F794" s="24">
        <f t="shared" si="103"/>
        <v>79397295</v>
      </c>
    </row>
    <row r="795" spans="1:6" ht="15.75" thickBot="1" x14ac:dyDescent="0.3">
      <c r="A795" s="22">
        <v>743595</v>
      </c>
      <c r="B795" s="22" t="s">
        <v>392</v>
      </c>
      <c r="C795" s="29">
        <f t="shared" ref="C795:F795" si="104">+SUM(C796:C812)</f>
        <v>0</v>
      </c>
      <c r="D795" s="29">
        <f>+SUM(D796:D812)</f>
        <v>79397295</v>
      </c>
      <c r="E795" s="29">
        <f t="shared" si="104"/>
        <v>0</v>
      </c>
      <c r="F795" s="29">
        <f t="shared" si="104"/>
        <v>79397295</v>
      </c>
    </row>
    <row r="796" spans="1:6" ht="15.75" thickBot="1" x14ac:dyDescent="0.3">
      <c r="A796" s="5"/>
      <c r="B796" s="5" t="s">
        <v>82</v>
      </c>
      <c r="C796" s="6">
        <v>0</v>
      </c>
      <c r="D796" s="6">
        <v>42119314</v>
      </c>
      <c r="E796" s="6">
        <v>0</v>
      </c>
      <c r="F796" s="39">
        <f t="shared" si="102"/>
        <v>42119314</v>
      </c>
    </row>
    <row r="797" spans="1:6" ht="15.75" thickBot="1" x14ac:dyDescent="0.3">
      <c r="A797" s="5"/>
      <c r="B797" s="5" t="s">
        <v>88</v>
      </c>
      <c r="C797" s="6">
        <v>0</v>
      </c>
      <c r="D797" s="6">
        <v>5550651</v>
      </c>
      <c r="E797" s="6">
        <v>0</v>
      </c>
      <c r="F797" s="39">
        <f t="shared" si="102"/>
        <v>5550651</v>
      </c>
    </row>
    <row r="798" spans="1:6" ht="15.75" thickBot="1" x14ac:dyDescent="0.3">
      <c r="A798" s="5"/>
      <c r="B798" s="5" t="s">
        <v>195</v>
      </c>
      <c r="C798" s="6">
        <v>0</v>
      </c>
      <c r="D798" s="6">
        <v>81933</v>
      </c>
      <c r="E798" s="6">
        <v>0</v>
      </c>
      <c r="F798" s="39">
        <f t="shared" si="102"/>
        <v>81933</v>
      </c>
    </row>
    <row r="799" spans="1:6" ht="15.75" thickBot="1" x14ac:dyDescent="0.3">
      <c r="A799" s="5"/>
      <c r="B799" s="5" t="s">
        <v>196</v>
      </c>
      <c r="C799" s="6">
        <v>0</v>
      </c>
      <c r="D799" s="6">
        <v>247899</v>
      </c>
      <c r="E799" s="6">
        <v>0</v>
      </c>
      <c r="F799" s="39">
        <f t="shared" si="102"/>
        <v>247899</v>
      </c>
    </row>
    <row r="800" spans="1:6" ht="15.75" thickBot="1" x14ac:dyDescent="0.3">
      <c r="A800" s="5"/>
      <c r="B800" s="5" t="s">
        <v>120</v>
      </c>
      <c r="C800" s="6">
        <v>0</v>
      </c>
      <c r="D800" s="6">
        <v>1520125</v>
      </c>
      <c r="E800" s="6">
        <v>0</v>
      </c>
      <c r="F800" s="39">
        <f t="shared" si="102"/>
        <v>1520125</v>
      </c>
    </row>
    <row r="801" spans="1:6" ht="15.75" thickBot="1" x14ac:dyDescent="0.3">
      <c r="A801" s="5"/>
      <c r="B801" s="5" t="s">
        <v>125</v>
      </c>
      <c r="C801" s="6">
        <v>0</v>
      </c>
      <c r="D801" s="6">
        <v>136470</v>
      </c>
      <c r="E801" s="6">
        <v>0</v>
      </c>
      <c r="F801" s="39">
        <f t="shared" si="102"/>
        <v>136470</v>
      </c>
    </row>
    <row r="802" spans="1:6" ht="15.75" thickBot="1" x14ac:dyDescent="0.3">
      <c r="A802" s="5"/>
      <c r="B802" s="5" t="s">
        <v>132</v>
      </c>
      <c r="C802" s="6">
        <v>0</v>
      </c>
      <c r="D802" s="6">
        <v>251851</v>
      </c>
      <c r="E802" s="6">
        <v>0</v>
      </c>
      <c r="F802" s="39">
        <f t="shared" si="102"/>
        <v>251851</v>
      </c>
    </row>
    <row r="803" spans="1:6" ht="15.75" thickBot="1" x14ac:dyDescent="0.3">
      <c r="A803" s="5"/>
      <c r="B803" s="5" t="s">
        <v>134</v>
      </c>
      <c r="C803" s="6">
        <v>0</v>
      </c>
      <c r="D803" s="6">
        <v>21765</v>
      </c>
      <c r="E803" s="6">
        <v>0</v>
      </c>
      <c r="F803" s="39">
        <f t="shared" si="102"/>
        <v>21765</v>
      </c>
    </row>
    <row r="804" spans="1:6" ht="15.75" thickBot="1" x14ac:dyDescent="0.3">
      <c r="A804" s="5"/>
      <c r="B804" s="5" t="s">
        <v>197</v>
      </c>
      <c r="C804" s="6">
        <v>0</v>
      </c>
      <c r="D804" s="6">
        <v>1442011</v>
      </c>
      <c r="E804" s="6">
        <v>0</v>
      </c>
      <c r="F804" s="39">
        <f t="shared" si="102"/>
        <v>1442011</v>
      </c>
    </row>
    <row r="805" spans="1:6" ht="15.75" thickBot="1" x14ac:dyDescent="0.3">
      <c r="A805" s="5"/>
      <c r="B805" s="5" t="s">
        <v>198</v>
      </c>
      <c r="C805" s="6">
        <v>0</v>
      </c>
      <c r="D805" s="6">
        <v>557690</v>
      </c>
      <c r="E805" s="6">
        <v>0</v>
      </c>
      <c r="F805" s="39">
        <f t="shared" si="102"/>
        <v>557690</v>
      </c>
    </row>
    <row r="806" spans="1:6" ht="15.75" thickBot="1" x14ac:dyDescent="0.3">
      <c r="A806" s="5"/>
      <c r="B806" s="5" t="s">
        <v>199</v>
      </c>
      <c r="C806" s="6">
        <v>0</v>
      </c>
      <c r="D806" s="6">
        <v>74760</v>
      </c>
      <c r="E806" s="6">
        <v>0</v>
      </c>
      <c r="F806" s="39">
        <f t="shared" si="102"/>
        <v>74760</v>
      </c>
    </row>
    <row r="807" spans="1:6" ht="15.75" thickBot="1" x14ac:dyDescent="0.3">
      <c r="A807" s="5"/>
      <c r="B807" s="5" t="s">
        <v>151</v>
      </c>
      <c r="C807" s="6">
        <v>0</v>
      </c>
      <c r="D807" s="6">
        <v>425000</v>
      </c>
      <c r="E807" s="6">
        <v>0</v>
      </c>
      <c r="F807" s="39">
        <f t="shared" si="102"/>
        <v>425000</v>
      </c>
    </row>
    <row r="808" spans="1:6" ht="15.75" thickBot="1" x14ac:dyDescent="0.3">
      <c r="A808" s="5"/>
      <c r="B808" s="5" t="s">
        <v>200</v>
      </c>
      <c r="C808" s="6">
        <v>0</v>
      </c>
      <c r="D808" s="6">
        <v>3507108</v>
      </c>
      <c r="E808" s="6">
        <v>0</v>
      </c>
      <c r="F808" s="39">
        <f t="shared" si="102"/>
        <v>3507108</v>
      </c>
    </row>
    <row r="809" spans="1:6" ht="15.75" thickBot="1" x14ac:dyDescent="0.3">
      <c r="A809" s="5"/>
      <c r="B809" s="5" t="s">
        <v>154</v>
      </c>
      <c r="C809" s="6">
        <v>0</v>
      </c>
      <c r="D809" s="6">
        <v>5004600</v>
      </c>
      <c r="E809" s="6">
        <v>0</v>
      </c>
      <c r="F809" s="39">
        <f t="shared" si="102"/>
        <v>5004600</v>
      </c>
    </row>
    <row r="810" spans="1:6" ht="15.75" thickBot="1" x14ac:dyDescent="0.3">
      <c r="A810" s="5"/>
      <c r="B810" s="5" t="s">
        <v>202</v>
      </c>
      <c r="C810" s="6">
        <v>0</v>
      </c>
      <c r="D810" s="6">
        <v>721457</v>
      </c>
      <c r="E810" s="6">
        <v>0</v>
      </c>
      <c r="F810" s="39">
        <f t="shared" si="102"/>
        <v>721457</v>
      </c>
    </row>
    <row r="811" spans="1:6" ht="15.75" thickBot="1" x14ac:dyDescent="0.3">
      <c r="A811" s="5"/>
      <c r="B811" s="5" t="s">
        <v>164</v>
      </c>
      <c r="C811" s="6">
        <v>0</v>
      </c>
      <c r="D811" s="6">
        <v>3208823</v>
      </c>
      <c r="E811" s="6">
        <v>0</v>
      </c>
      <c r="F811" s="39">
        <f t="shared" si="102"/>
        <v>3208823</v>
      </c>
    </row>
    <row r="812" spans="1:6" ht="15.75" thickBot="1" x14ac:dyDescent="0.3">
      <c r="A812" s="5"/>
      <c r="B812" s="5" t="s">
        <v>165</v>
      </c>
      <c r="C812" s="6">
        <v>0</v>
      </c>
      <c r="D812" s="6">
        <v>14525838</v>
      </c>
      <c r="E812" s="6">
        <v>0</v>
      </c>
      <c r="F812" s="39">
        <f t="shared" si="102"/>
        <v>14525838</v>
      </c>
    </row>
    <row r="813" spans="1:6" ht="15.75" thickBot="1" x14ac:dyDescent="0.3">
      <c r="A813" s="41" t="s">
        <v>393</v>
      </c>
      <c r="B813" s="42"/>
      <c r="C813" s="3">
        <f>+C6+C219+C561+C575+C593+C705</f>
        <v>550215550.95200002</v>
      </c>
      <c r="D813" s="3">
        <f>+D6+D219+D561+D575+D593+D705</f>
        <v>2213330969.5999999</v>
      </c>
      <c r="E813" s="3">
        <f>+E6+E219+E561+E575+E593+E705</f>
        <v>2213330969.8299999</v>
      </c>
      <c r="F813" s="3">
        <f>+F6+F219+F561+F575+F593+F705</f>
        <v>1694697859.1820002</v>
      </c>
    </row>
  </sheetData>
  <autoFilter ref="A5:H813" xr:uid="{2B1EB32D-5725-404E-B42E-CA2D272CBDA6}"/>
  <mergeCells count="5">
    <mergeCell ref="A1:F1"/>
    <mergeCell ref="A2:F2"/>
    <mergeCell ref="A3:F3"/>
    <mergeCell ref="A4:F4"/>
    <mergeCell ref="A813:B813"/>
  </mergeCells>
  <pageMargins left="0.7" right="0.7" top="0.75" bottom="0.75" header="0.3" footer="0.3"/>
  <pageSetup paperSize="9" orientation="portrait" horizontalDpi="0" verticalDpi="0" r:id="rId1"/>
  <ignoredErrors>
    <ignoredError sqref="F45 F18 F48 F58 F65 F73 D57 F94 F92 F103 F559 F561" formula="1"/>
    <ignoredError sqref="D65 C94:E9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1E9D-E822-48C7-970D-A8CBD67158E0}">
  <dimension ref="A2:K57"/>
  <sheetViews>
    <sheetView zoomScale="86" workbookViewId="0">
      <selection activeCell="J33" sqref="J33"/>
    </sheetView>
  </sheetViews>
  <sheetFormatPr baseColWidth="10" defaultRowHeight="15" x14ac:dyDescent="0.25"/>
  <cols>
    <col min="1" max="1" width="11.42578125" style="44"/>
    <col min="2" max="2" width="46.5703125" style="44" bestFit="1" customWidth="1"/>
    <col min="3" max="3" width="20" style="44" bestFit="1" customWidth="1"/>
    <col min="4" max="5" width="15.5703125" style="44" bestFit="1" customWidth="1"/>
    <col min="6" max="6" width="20" style="44" bestFit="1" customWidth="1"/>
    <col min="7" max="7" width="44.85546875" style="44" customWidth="1"/>
    <col min="8" max="8" width="8.7109375" style="44" customWidth="1"/>
    <col min="9" max="9" width="16.7109375" style="44" bestFit="1" customWidth="1"/>
    <col min="10" max="10" width="14.42578125" style="44" bestFit="1" customWidth="1"/>
    <col min="11" max="11" width="13" style="44" bestFit="1" customWidth="1"/>
    <col min="12" max="16384" width="11.42578125" style="44"/>
  </cols>
  <sheetData>
    <row r="2" spans="2:10" x14ac:dyDescent="0.25">
      <c r="B2" s="43" t="s">
        <v>394</v>
      </c>
      <c r="C2" s="43"/>
      <c r="D2" s="43"/>
      <c r="E2" s="43"/>
      <c r="G2" s="43" t="s">
        <v>394</v>
      </c>
      <c r="H2" s="43"/>
      <c r="I2" s="43"/>
      <c r="J2" s="43"/>
    </row>
    <row r="3" spans="2:10" x14ac:dyDescent="0.25">
      <c r="B3" s="43" t="s">
        <v>395</v>
      </c>
      <c r="C3" s="43"/>
      <c r="D3" s="43"/>
      <c r="E3" s="43"/>
      <c r="G3" s="43" t="s">
        <v>395</v>
      </c>
      <c r="H3" s="43"/>
      <c r="I3" s="43"/>
      <c r="J3" s="43"/>
    </row>
    <row r="4" spans="2:10" x14ac:dyDescent="0.25">
      <c r="B4" s="43" t="s">
        <v>448</v>
      </c>
      <c r="C4" s="43"/>
      <c r="D4" s="43"/>
      <c r="E4" s="43"/>
      <c r="G4" s="43" t="s">
        <v>448</v>
      </c>
      <c r="H4" s="43"/>
      <c r="I4" s="43"/>
      <c r="J4" s="43"/>
    </row>
    <row r="5" spans="2:10" x14ac:dyDescent="0.25">
      <c r="B5" s="43" t="s">
        <v>396</v>
      </c>
      <c r="C5" s="43"/>
      <c r="D5" s="43"/>
      <c r="E5" s="43"/>
      <c r="G5" s="43" t="s">
        <v>397</v>
      </c>
      <c r="H5" s="43"/>
      <c r="I5" s="43"/>
      <c r="J5" s="43"/>
    </row>
    <row r="6" spans="2:10" x14ac:dyDescent="0.25">
      <c r="B6" s="43" t="s">
        <v>398</v>
      </c>
      <c r="C6" s="43"/>
      <c r="D6" s="43"/>
      <c r="E6" s="43"/>
      <c r="G6" s="43" t="s">
        <v>398</v>
      </c>
      <c r="H6" s="43"/>
      <c r="I6" s="43"/>
      <c r="J6" s="43"/>
    </row>
    <row r="7" spans="2:10" x14ac:dyDescent="0.25">
      <c r="B7" s="45" t="s">
        <v>399</v>
      </c>
      <c r="C7" s="45" t="s">
        <v>400</v>
      </c>
      <c r="D7" s="45">
        <v>2022</v>
      </c>
      <c r="E7" s="45">
        <v>2021</v>
      </c>
      <c r="G7" s="46" t="s">
        <v>328</v>
      </c>
      <c r="H7" s="44" t="s">
        <v>400</v>
      </c>
      <c r="I7" s="44">
        <v>2022</v>
      </c>
      <c r="J7" s="44">
        <v>2021</v>
      </c>
    </row>
    <row r="8" spans="2:10" x14ac:dyDescent="0.25">
      <c r="B8" s="44" t="s">
        <v>401</v>
      </c>
      <c r="G8" s="44" t="s">
        <v>329</v>
      </c>
      <c r="H8" s="47">
        <v>9</v>
      </c>
      <c r="I8" s="48">
        <f>+'BALANCE DE PRUEBA'!F577+'BALANCE DE PRUEBA'!F579+'BALANCE DE PRUEBA'!F582</f>
        <v>403427873</v>
      </c>
      <c r="J8" s="48">
        <f>+'BALANCE DE PRUEBA'!C577+'BALANCE DE PRUEBA'!G579+'BALANCE DE PRUEBA'!G582</f>
        <v>0</v>
      </c>
    </row>
    <row r="9" spans="2:10" x14ac:dyDescent="0.25">
      <c r="B9" s="44" t="s">
        <v>402</v>
      </c>
      <c r="C9" s="49">
        <v>3</v>
      </c>
      <c r="D9" s="48">
        <f>+'BALANCE DE PRUEBA'!F8</f>
        <v>29292727</v>
      </c>
      <c r="E9" s="48">
        <f>+'BALANCE DE PRUEBA'!C8</f>
        <v>13707299</v>
      </c>
      <c r="G9" s="44" t="s">
        <v>403</v>
      </c>
      <c r="H9" s="47">
        <v>10</v>
      </c>
      <c r="I9" s="48">
        <f>+'BALANCE DE PRUEBA'!F707+'BALANCE DE PRUEBA'!F794</f>
        <v>138623497</v>
      </c>
      <c r="J9" s="48">
        <f>+'BALANCE DE PRUEBA'!C707+'BALANCE DE PRUEBA'!G794</f>
        <v>0</v>
      </c>
    </row>
    <row r="10" spans="2:10" x14ac:dyDescent="0.25">
      <c r="B10" s="44" t="s">
        <v>404</v>
      </c>
      <c r="C10" s="50">
        <v>4</v>
      </c>
      <c r="D10" s="48">
        <f>+'BALANCE DE PRUEBA'!F18</f>
        <v>310625440</v>
      </c>
      <c r="E10" s="48">
        <f>+'BALANCE DE PRUEBA'!C18</f>
        <v>185739788</v>
      </c>
      <c r="G10" s="51" t="s">
        <v>405</v>
      </c>
      <c r="H10" s="51"/>
      <c r="I10" s="52">
        <f>+I8-I9</f>
        <v>264804376</v>
      </c>
      <c r="J10" s="52">
        <f>+J8-J9</f>
        <v>0</v>
      </c>
    </row>
    <row r="11" spans="2:10" x14ac:dyDescent="0.25">
      <c r="B11" s="44" t="s">
        <v>406</v>
      </c>
      <c r="C11" s="50"/>
      <c r="D11" s="48">
        <f>+'BALANCE DE PRUEBA'!F45+'BALANCE DE PRUEBA'!F48+'BALANCE DE PRUEBA'!F56+'BALANCE DE PRUEBA'!F100</f>
        <v>98693242</v>
      </c>
      <c r="E11" s="48">
        <f>+'BALANCE DE PRUEBA'!C45+'BALANCE DE PRUEBA'!C48+'BALANCE DE PRUEBA'!C56+'BALANCE DE PRUEBA'!C100</f>
        <v>27355635</v>
      </c>
      <c r="G11" s="44" t="s">
        <v>407</v>
      </c>
      <c r="H11" s="64">
        <v>11</v>
      </c>
    </row>
    <row r="12" spans="2:10" x14ac:dyDescent="0.25">
      <c r="B12" s="44" t="s">
        <v>447</v>
      </c>
      <c r="C12" s="47"/>
      <c r="D12" s="48">
        <f>+'BALANCE DE PRUEBA'!F103</f>
        <v>154926310</v>
      </c>
      <c r="E12" s="48">
        <f>+'BALANCE DE PRUEBA'!C103</f>
        <v>0</v>
      </c>
      <c r="G12" s="44" t="s">
        <v>409</v>
      </c>
      <c r="H12" s="64"/>
      <c r="I12" s="48">
        <f>+'BALANCE DE PRUEBA'!F595</f>
        <v>16564894</v>
      </c>
      <c r="J12" s="48">
        <f>+'BALANCE DE PRUEBA'!C595</f>
        <v>0</v>
      </c>
    </row>
    <row r="13" spans="2:10" x14ac:dyDescent="0.25">
      <c r="B13" s="53" t="s">
        <v>408</v>
      </c>
      <c r="C13" s="53"/>
      <c r="D13" s="54">
        <f>+D9+D10+D11+D12</f>
        <v>593537719</v>
      </c>
      <c r="E13" s="54">
        <f>+E9+E10+E11+E12</f>
        <v>226802722</v>
      </c>
      <c r="G13" s="44" t="s">
        <v>359</v>
      </c>
      <c r="H13" s="64"/>
      <c r="I13" s="48">
        <f>+'BALANCE DE PRUEBA'!F630</f>
        <v>6085800</v>
      </c>
      <c r="J13" s="48">
        <f>+'BALANCE DE PRUEBA'!C630</f>
        <v>0</v>
      </c>
    </row>
    <row r="14" spans="2:10" x14ac:dyDescent="0.25">
      <c r="B14" s="53" t="s">
        <v>410</v>
      </c>
      <c r="C14" s="53"/>
      <c r="D14" s="53"/>
      <c r="E14" s="53"/>
      <c r="F14" s="55"/>
      <c r="G14" s="44" t="s">
        <v>361</v>
      </c>
      <c r="H14" s="64"/>
      <c r="I14" s="48">
        <f>+'BALANCE DE PRUEBA'!F632+'BALANCE DE PRUEBA'!F704</f>
        <v>3444957</v>
      </c>
      <c r="J14" s="48">
        <f>+'BALANCE DE PRUEBA'!C632+'BALANCE DE PRUEBA'!G704</f>
        <v>0</v>
      </c>
    </row>
    <row r="15" spans="2:10" x14ac:dyDescent="0.25">
      <c r="B15" s="44" t="s">
        <v>411</v>
      </c>
      <c r="C15" s="49">
        <v>5</v>
      </c>
      <c r="D15" s="48">
        <f>+'BALANCE DE PRUEBA'!F204+'BALANCE DE PRUEBA'!F206+'BALANCE DE PRUEBA'!F209+'BALANCE DE PRUEBA'!F211</f>
        <v>49007442.236000001</v>
      </c>
      <c r="E15" s="48">
        <f>+'BALANCE DE PRUEBA'!C204+'BALANCE DE PRUEBA'!C206+'BALANCE DE PRUEBA'!C209+'BALANCE DE PRUEBA'!C211</f>
        <v>47267491.236000001</v>
      </c>
      <c r="G15" s="44" t="s">
        <v>412</v>
      </c>
      <c r="H15" s="64"/>
      <c r="I15" s="48">
        <v>0</v>
      </c>
      <c r="J15" s="48">
        <v>0</v>
      </c>
    </row>
    <row r="16" spans="2:10" x14ac:dyDescent="0.25">
      <c r="B16" s="44" t="s">
        <v>189</v>
      </c>
      <c r="C16" s="49">
        <v>6</v>
      </c>
      <c r="D16" s="48">
        <f>+'BALANCE DE PRUEBA'!F217</f>
        <v>1000000</v>
      </c>
      <c r="E16" s="48">
        <f>+'BALANCE DE PRUEBA'!C217</f>
        <v>1000000</v>
      </c>
      <c r="G16" s="44" t="s">
        <v>213</v>
      </c>
      <c r="H16" s="64"/>
      <c r="I16" s="48">
        <f>+'BALANCE DE PRUEBA'!F639</f>
        <v>7736558</v>
      </c>
      <c r="J16" s="48">
        <f>+'BALANCE DE PRUEBA'!C639</f>
        <v>0</v>
      </c>
    </row>
    <row r="17" spans="2:10" x14ac:dyDescent="0.25">
      <c r="B17" s="53" t="s">
        <v>413</v>
      </c>
      <c r="C17" s="53"/>
      <c r="D17" s="54">
        <f>+D15+D16</f>
        <v>50007442.236000001</v>
      </c>
      <c r="E17" s="54">
        <f>+E15+E16</f>
        <v>48267491.236000001</v>
      </c>
      <c r="G17" s="44" t="s">
        <v>238</v>
      </c>
      <c r="H17" s="64"/>
      <c r="I17" s="48">
        <f>+'BALANCE DE PRUEBA'!F650</f>
        <v>15235400</v>
      </c>
      <c r="J17" s="48">
        <f>+'BALANCE DE PRUEBA'!C650</f>
        <v>0</v>
      </c>
    </row>
    <row r="18" spans="2:10" x14ac:dyDescent="0.25">
      <c r="B18" s="53" t="s">
        <v>414</v>
      </c>
      <c r="C18" s="53"/>
      <c r="D18" s="54">
        <f>+D13+D17</f>
        <v>643545161.23600006</v>
      </c>
      <c r="E18" s="54">
        <f>+E13+E17</f>
        <v>275070213.236</v>
      </c>
      <c r="G18" s="44" t="s">
        <v>204</v>
      </c>
      <c r="H18" s="64"/>
      <c r="I18" s="48">
        <f>+'BALANCE DE PRUEBA'!F658</f>
        <v>278500</v>
      </c>
      <c r="J18" s="48">
        <f>+'BALANCE DE PRUEBA'!C658</f>
        <v>0</v>
      </c>
    </row>
    <row r="19" spans="2:10" x14ac:dyDescent="0.25">
      <c r="B19" s="56" t="s">
        <v>415</v>
      </c>
      <c r="G19" s="44" t="s">
        <v>417</v>
      </c>
      <c r="H19" s="64"/>
      <c r="I19" s="48">
        <f>+'BALANCE DE PRUEBA'!F662</f>
        <v>1041231</v>
      </c>
      <c r="J19" s="48">
        <f>+'BALANCE DE PRUEBA'!C662</f>
        <v>0</v>
      </c>
    </row>
    <row r="20" spans="2:10" x14ac:dyDescent="0.25">
      <c r="B20" s="53" t="s">
        <v>416</v>
      </c>
      <c r="C20" s="53"/>
      <c r="D20" s="53"/>
      <c r="E20" s="53"/>
      <c r="G20" s="44" t="s">
        <v>421</v>
      </c>
      <c r="H20" s="64"/>
      <c r="I20" s="48">
        <f>+'BALANCE DE PRUEBA'!F667</f>
        <v>869976</v>
      </c>
      <c r="J20" s="48">
        <f>+'BALANCE DE PRUEBA'!C667</f>
        <v>0</v>
      </c>
    </row>
    <row r="21" spans="2:10" x14ac:dyDescent="0.25">
      <c r="B21" s="44" t="s">
        <v>418</v>
      </c>
      <c r="C21" s="50">
        <v>7</v>
      </c>
      <c r="D21" s="48">
        <f>+'BALANCE DE PRUEBA'!F221+'BALANCE DE PRUEBA'!F243</f>
        <v>70929197</v>
      </c>
      <c r="E21" s="48">
        <f>+'BALANCE DE PRUEBA'!C221+'BALANCE DE PRUEBA'!C243</f>
        <v>21180238</v>
      </c>
      <c r="G21" s="44" t="s">
        <v>423</v>
      </c>
      <c r="H21" s="64"/>
      <c r="I21" s="48">
        <f>+'BALANCE DE PRUEBA'!F669</f>
        <v>3762652</v>
      </c>
      <c r="J21" s="48">
        <f>+'BALANCE DE PRUEBA'!C669</f>
        <v>0</v>
      </c>
    </row>
    <row r="22" spans="2:10" x14ac:dyDescent="0.25">
      <c r="B22" s="44" t="s">
        <v>419</v>
      </c>
      <c r="C22" s="50"/>
      <c r="D22" s="48">
        <f>+'BALANCE DE PRUEBA'!F287+'BALANCE DE PRUEBA'!F319+'BALANCE DE PRUEBA'!F353</f>
        <v>1160249</v>
      </c>
      <c r="E22" s="48">
        <f>+'BALANCE DE PRUEBA'!C287+'BALANCE DE PRUEBA'!C319+'BALANCE DE PRUEBA'!C353</f>
        <v>520318</v>
      </c>
      <c r="G22" s="59" t="s">
        <v>425</v>
      </c>
      <c r="H22" s="59"/>
      <c r="I22" s="60">
        <f>+SUM(I11:I21)</f>
        <v>55019968</v>
      </c>
      <c r="J22" s="60">
        <f>+SUM(J11:J21)</f>
        <v>0</v>
      </c>
    </row>
    <row r="23" spans="2:10" x14ac:dyDescent="0.25">
      <c r="B23" s="44" t="s">
        <v>420</v>
      </c>
      <c r="C23" s="50"/>
      <c r="D23" s="48">
        <f>+'BALANCE DE PRUEBA'!F428+'BALANCE DE PRUEBA'!F445+'BALANCE DE PRUEBA'!F466+'BALANCE DE PRUEBA'!F486+'BALANCE DE PRUEBA'!F507</f>
        <v>18160187</v>
      </c>
      <c r="E23" s="48">
        <f>+'BALANCE DE PRUEBA'!C428+'BALANCE DE PRUEBA'!C445+'BALANCE DE PRUEBA'!C466+'BALANCE DE PRUEBA'!C486+'BALANCE DE PRUEBA'!C507</f>
        <v>6567832</v>
      </c>
      <c r="G23" s="51" t="s">
        <v>427</v>
      </c>
      <c r="H23" s="51"/>
      <c r="I23" s="52">
        <f>+I10-I22</f>
        <v>209784408</v>
      </c>
      <c r="J23" s="52">
        <f>+J10-J22</f>
        <v>0</v>
      </c>
    </row>
    <row r="24" spans="2:10" x14ac:dyDescent="0.25">
      <c r="B24" s="44" t="s">
        <v>422</v>
      </c>
      <c r="C24" s="50"/>
      <c r="D24" s="48">
        <f>+'BALANCE DE PRUEBA'!F529+'BALANCE DE PRUEBA'!F559</f>
        <v>296902113</v>
      </c>
      <c r="E24" s="48">
        <f>+'BALANCE DE PRUEBA'!C529+'BALANCE DE PRUEBA'!C559</f>
        <v>178520572</v>
      </c>
      <c r="G24" s="44" t="s">
        <v>429</v>
      </c>
      <c r="I24" s="65"/>
      <c r="J24" s="65"/>
    </row>
    <row r="25" spans="2:10" x14ac:dyDescent="0.25">
      <c r="B25" s="57" t="s">
        <v>424</v>
      </c>
      <c r="C25" s="57"/>
      <c r="D25" s="58">
        <f>+D21+D22+D23+D24</f>
        <v>387151746</v>
      </c>
      <c r="E25" s="58">
        <f>+E21+E22+E23+E24</f>
        <v>206788960</v>
      </c>
      <c r="G25" s="44" t="s">
        <v>335</v>
      </c>
      <c r="I25" s="48">
        <f>+'BALANCE DE PRUEBA'!F586</f>
        <v>7604.23</v>
      </c>
      <c r="J25" s="48">
        <f>+'BALANCE DE PRUEBA'!C586</f>
        <v>0</v>
      </c>
    </row>
    <row r="26" spans="2:10" x14ac:dyDescent="0.25">
      <c r="B26" s="44" t="s">
        <v>426</v>
      </c>
      <c r="G26" s="44" t="s">
        <v>337</v>
      </c>
      <c r="I26" s="48">
        <f>+'BALANCE DE PRUEBA'!F588</f>
        <v>2952804</v>
      </c>
      <c r="J26" s="48">
        <f>+'BALANCE DE PRUEBA'!C588</f>
        <v>0</v>
      </c>
    </row>
    <row r="27" spans="2:10" x14ac:dyDescent="0.25">
      <c r="B27" s="44" t="s">
        <v>428</v>
      </c>
      <c r="D27" s="48">
        <f>+'BALANCE DE PRUEBA'!F285</f>
        <v>0</v>
      </c>
      <c r="E27" s="48">
        <f>+'BALANCE DE PRUEBA'!C285</f>
        <v>14510168</v>
      </c>
      <c r="G27" s="44" t="s">
        <v>340</v>
      </c>
      <c r="I27" s="48">
        <f>+'BALANCE DE PRUEBA'!F591</f>
        <v>255</v>
      </c>
      <c r="J27" s="48">
        <f>+'BALANCE DE PRUEBA'!C591</f>
        <v>0</v>
      </c>
    </row>
    <row r="28" spans="2:10" x14ac:dyDescent="0.25">
      <c r="B28" s="56" t="s">
        <v>430</v>
      </c>
      <c r="C28" s="56"/>
      <c r="D28" s="62">
        <f>+D27</f>
        <v>0</v>
      </c>
      <c r="E28" s="62">
        <f>+E27</f>
        <v>14510168</v>
      </c>
      <c r="G28" s="51" t="s">
        <v>435</v>
      </c>
      <c r="H28" s="51"/>
      <c r="I28" s="52">
        <f>+I25+I26+I27</f>
        <v>2960663.23</v>
      </c>
      <c r="J28" s="52">
        <f>+J25+J26+J27</f>
        <v>0</v>
      </c>
    </row>
    <row r="29" spans="2:10" x14ac:dyDescent="0.25">
      <c r="B29" s="51" t="s">
        <v>431</v>
      </c>
      <c r="C29" s="51"/>
      <c r="D29" s="52">
        <f>+D25</f>
        <v>387151746</v>
      </c>
      <c r="E29" s="52">
        <f>+E25+E28</f>
        <v>221299128</v>
      </c>
      <c r="F29" s="55"/>
      <c r="G29" s="44" t="s">
        <v>437</v>
      </c>
    </row>
    <row r="30" spans="2:10" x14ac:dyDescent="0.25">
      <c r="B30" s="56" t="s">
        <v>432</v>
      </c>
      <c r="C30" s="64"/>
      <c r="D30" s="56"/>
      <c r="E30" s="56"/>
      <c r="G30" s="44" t="s">
        <v>335</v>
      </c>
      <c r="I30" s="48">
        <f>+'BALANCE DE PRUEBA'!F693</f>
        <v>1940771</v>
      </c>
      <c r="J30" s="48">
        <f>+'BALANCE DE PRUEBA'!C693</f>
        <v>0</v>
      </c>
    </row>
    <row r="31" spans="2:10" x14ac:dyDescent="0.25">
      <c r="B31" s="44" t="s">
        <v>433</v>
      </c>
      <c r="C31" s="50">
        <v>8</v>
      </c>
      <c r="D31" s="48">
        <f>+'BALANCE DE PRUEBA'!F563</f>
        <v>3000000</v>
      </c>
      <c r="E31" s="48">
        <f>+'BALANCE DE PRUEBA'!C563</f>
        <v>3000000</v>
      </c>
      <c r="G31" s="44" t="s">
        <v>440</v>
      </c>
      <c r="I31" s="48">
        <f>+'BALANCE DE PRUEBA'!F696</f>
        <v>7453965</v>
      </c>
      <c r="J31" s="48">
        <f>+'BALANCE DE PRUEBA'!C696</f>
        <v>0</v>
      </c>
    </row>
    <row r="32" spans="2:10" x14ac:dyDescent="0.25">
      <c r="B32" s="44" t="s">
        <v>434</v>
      </c>
      <c r="C32" s="50"/>
      <c r="D32" s="48">
        <f>+'BALANCE DE PRUEBA'!F565</f>
        <v>234894062</v>
      </c>
      <c r="E32" s="48">
        <f>+'BALANCE DE PRUEBA'!C565</f>
        <v>234894062</v>
      </c>
      <c r="F32" s="55"/>
      <c r="G32" s="44" t="s">
        <v>442</v>
      </c>
      <c r="I32" s="48">
        <f>+'BALANCE DE PRUEBA'!F701</f>
        <v>765567</v>
      </c>
      <c r="J32" s="48">
        <f>+'BALANCE DE PRUEBA'!C701</f>
        <v>0</v>
      </c>
    </row>
    <row r="33" spans="2:11" x14ac:dyDescent="0.25">
      <c r="B33" s="44" t="s">
        <v>436</v>
      </c>
      <c r="C33" s="50"/>
      <c r="D33" s="66">
        <f>+I36</f>
        <v>202584768.22999999</v>
      </c>
      <c r="E33" s="66">
        <f>+J36</f>
        <v>0</v>
      </c>
      <c r="G33" s="59" t="s">
        <v>443</v>
      </c>
      <c r="H33" s="59"/>
      <c r="I33" s="60">
        <f>+I30+I31+I32</f>
        <v>10160303</v>
      </c>
      <c r="J33" s="60">
        <f>+J30+J31+J32</f>
        <v>0</v>
      </c>
    </row>
    <row r="34" spans="2:11" x14ac:dyDescent="0.25">
      <c r="B34" s="44" t="s">
        <v>438</v>
      </c>
      <c r="C34" s="50"/>
      <c r="D34" s="63">
        <f>+'BALANCE DE PRUEBA'!F571</f>
        <v>-184085414.28</v>
      </c>
      <c r="E34" s="63">
        <f>+'BALANCE DE PRUEBA'!C571</f>
        <v>-162637538.68000001</v>
      </c>
      <c r="G34" s="59" t="s">
        <v>444</v>
      </c>
      <c r="H34" s="59"/>
      <c r="I34" s="61">
        <f>+I23+I28-I33</f>
        <v>202584768.22999999</v>
      </c>
      <c r="J34" s="61">
        <f>+J23+J28-J33</f>
        <v>0</v>
      </c>
    </row>
    <row r="35" spans="2:11" x14ac:dyDescent="0.25">
      <c r="B35" s="51" t="s">
        <v>439</v>
      </c>
      <c r="C35" s="51"/>
      <c r="D35" s="52">
        <f>+D31+D32+D34+D33</f>
        <v>256393415.94999999</v>
      </c>
      <c r="E35" s="52">
        <f>+E31+E32+E34+E33</f>
        <v>75256523.319999993</v>
      </c>
      <c r="G35" s="59" t="s">
        <v>445</v>
      </c>
      <c r="H35" s="59"/>
      <c r="I35" s="61"/>
      <c r="J35" s="61"/>
    </row>
    <row r="36" spans="2:11" x14ac:dyDescent="0.25">
      <c r="B36" s="51" t="s">
        <v>441</v>
      </c>
      <c r="C36" s="51"/>
      <c r="D36" s="52">
        <f>+D29+D35</f>
        <v>643545161.95000005</v>
      </c>
      <c r="E36" s="52">
        <f>+E29+E35</f>
        <v>296555651.31999999</v>
      </c>
      <c r="G36" s="59" t="s">
        <v>446</v>
      </c>
      <c r="H36" s="59"/>
      <c r="I36" s="67">
        <f>+I34</f>
        <v>202584768.22999999</v>
      </c>
      <c r="J36" s="67">
        <f>+J34</f>
        <v>0</v>
      </c>
    </row>
    <row r="37" spans="2:11" x14ac:dyDescent="0.25">
      <c r="E37" s="55"/>
      <c r="I37" s="55"/>
    </row>
    <row r="38" spans="2:11" x14ac:dyDescent="0.25">
      <c r="D38" s="55"/>
      <c r="E38" s="55"/>
    </row>
    <row r="39" spans="2:11" x14ac:dyDescent="0.25">
      <c r="I39" s="55"/>
      <c r="K39" s="55"/>
    </row>
    <row r="40" spans="2:11" x14ac:dyDescent="0.25">
      <c r="G40"/>
    </row>
    <row r="41" spans="2:11" x14ac:dyDescent="0.25">
      <c r="G41"/>
    </row>
    <row r="42" spans="2:11" x14ac:dyDescent="0.25">
      <c r="G42"/>
    </row>
    <row r="43" spans="2:11" x14ac:dyDescent="0.25">
      <c r="B43"/>
      <c r="C43"/>
      <c r="D43"/>
      <c r="E43"/>
      <c r="F43"/>
      <c r="G43"/>
    </row>
    <row r="44" spans="2:11" x14ac:dyDescent="0.25">
      <c r="B44"/>
      <c r="C44"/>
      <c r="D44"/>
      <c r="E44"/>
      <c r="F44"/>
      <c r="G44"/>
    </row>
    <row r="45" spans="2:11" x14ac:dyDescent="0.25">
      <c r="B45"/>
      <c r="C45"/>
      <c r="D45"/>
      <c r="E45"/>
      <c r="F45"/>
      <c r="G45"/>
    </row>
    <row r="46" spans="2:11" x14ac:dyDescent="0.25">
      <c r="B46"/>
      <c r="C46"/>
      <c r="D46"/>
      <c r="E46"/>
      <c r="F46"/>
      <c r="G46"/>
    </row>
    <row r="47" spans="2:11" x14ac:dyDescent="0.25">
      <c r="B47"/>
      <c r="C47"/>
      <c r="D47"/>
      <c r="E47"/>
      <c r="F47"/>
      <c r="G47"/>
    </row>
    <row r="48" spans="2:11" x14ac:dyDescent="0.25">
      <c r="B48"/>
      <c r="C48"/>
      <c r="D48"/>
      <c r="E48"/>
      <c r="F48"/>
      <c r="G48"/>
    </row>
    <row r="49" spans="1:7" x14ac:dyDescent="0.25">
      <c r="A49" s="56"/>
      <c r="B49"/>
      <c r="C49"/>
      <c r="D49"/>
      <c r="E49"/>
      <c r="F49"/>
      <c r="G49"/>
    </row>
    <row r="50" spans="1:7" x14ac:dyDescent="0.25">
      <c r="B50"/>
      <c r="C50"/>
      <c r="D50"/>
      <c r="E50"/>
      <c r="F50"/>
      <c r="G50"/>
    </row>
    <row r="51" spans="1:7" x14ac:dyDescent="0.25">
      <c r="B51"/>
      <c r="C51"/>
      <c r="D51"/>
      <c r="E51"/>
      <c r="F51"/>
      <c r="G51"/>
    </row>
    <row r="52" spans="1:7" x14ac:dyDescent="0.25">
      <c r="B52"/>
      <c r="C52"/>
      <c r="D52"/>
      <c r="E52"/>
      <c r="F52"/>
      <c r="G52"/>
    </row>
    <row r="53" spans="1:7" x14ac:dyDescent="0.25">
      <c r="B53"/>
      <c r="C53"/>
      <c r="D53"/>
      <c r="E53"/>
      <c r="F53"/>
      <c r="G53"/>
    </row>
    <row r="54" spans="1:7" x14ac:dyDescent="0.25">
      <c r="B54"/>
      <c r="C54"/>
      <c r="D54"/>
      <c r="E54"/>
      <c r="F54"/>
      <c r="G54"/>
    </row>
    <row r="55" spans="1:7" x14ac:dyDescent="0.25">
      <c r="B55"/>
      <c r="C55"/>
      <c r="D55"/>
      <c r="E55"/>
      <c r="F55"/>
    </row>
    <row r="56" spans="1:7" x14ac:dyDescent="0.25">
      <c r="B56"/>
      <c r="C56"/>
      <c r="D56"/>
      <c r="E56"/>
      <c r="F56"/>
    </row>
    <row r="57" spans="1:7" x14ac:dyDescent="0.25">
      <c r="B57"/>
      <c r="C57"/>
      <c r="D57"/>
      <c r="E57"/>
      <c r="F57"/>
    </row>
  </sheetData>
  <mergeCells count="13">
    <mergeCell ref="C31:C34"/>
    <mergeCell ref="B5:E5"/>
    <mergeCell ref="G5:J5"/>
    <mergeCell ref="B6:E6"/>
    <mergeCell ref="G6:J6"/>
    <mergeCell ref="C10:C11"/>
    <mergeCell ref="C21:C24"/>
    <mergeCell ref="B2:E2"/>
    <mergeCell ref="G2:J2"/>
    <mergeCell ref="B3:E3"/>
    <mergeCell ref="G3:J3"/>
    <mergeCell ref="B4:E4"/>
    <mergeCell ref="G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 DE PRUEBA</vt:lpstr>
      <vt:lpstr>EEFF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ISABEL S�NCHEZ ABAT</dc:creator>
  <cp:lastModifiedBy>BRENDA ISABEL S�NCHEZ ABAT</cp:lastModifiedBy>
  <dcterms:created xsi:type="dcterms:W3CDTF">2024-03-15T01:19:38Z</dcterms:created>
  <dcterms:modified xsi:type="dcterms:W3CDTF">2024-03-17T02:16:52Z</dcterms:modified>
</cp:coreProperties>
</file>